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k\Downloads\Projet ADP 2026\TD1\ressources\"/>
    </mc:Choice>
  </mc:AlternateContent>
  <bookViews>
    <workbookView xWindow="0" yWindow="0" windowWidth="20490" windowHeight="7755" firstSheet="1" activeTab="2"/>
  </bookViews>
  <sheets>
    <sheet name="LISEZ-MOI" sheetId="1" r:id="rId1"/>
    <sheet name="IDENTITÉ" sheetId="2" r:id="rId2"/>
    <sheet name="CRITÈRES C1·C2·C3" sheetId="3" r:id="rId3"/>
    <sheet name="BARÈME ES" sheetId="4" r:id="rId4"/>
    <sheet name="CALCUL NOTE SUR 20" sheetId="5" r:id="rId5"/>
    <sheet name="TEST SIMULATION" sheetId="6" r:id="rId6"/>
  </sheets>
  <calcPr calcId="152511"/>
</workbook>
</file>

<file path=xl/calcChain.xml><?xml version="1.0" encoding="utf-8"?>
<calcChain xmlns="http://schemas.openxmlformats.org/spreadsheetml/2006/main">
  <c r="K35" i="5" l="1"/>
  <c r="J35" i="5"/>
  <c r="I35" i="5"/>
  <c r="G35" i="5"/>
  <c r="E35" i="5"/>
  <c r="K34" i="5"/>
  <c r="J34" i="5"/>
  <c r="I34" i="5"/>
  <c r="G34" i="5"/>
  <c r="E34" i="5"/>
  <c r="K33" i="5"/>
  <c r="J33" i="5"/>
  <c r="I33" i="5"/>
  <c r="G33" i="5"/>
  <c r="E33" i="5"/>
  <c r="K32" i="5"/>
  <c r="J32" i="5"/>
  <c r="I32" i="5"/>
  <c r="G32" i="5"/>
  <c r="E32" i="5"/>
  <c r="K31" i="5"/>
  <c r="J31" i="5"/>
  <c r="I31" i="5"/>
  <c r="G31" i="5"/>
  <c r="E31" i="5"/>
  <c r="K30" i="5"/>
  <c r="J30" i="5"/>
  <c r="I30" i="5"/>
  <c r="G30" i="5"/>
  <c r="E30" i="5"/>
  <c r="K29" i="5"/>
  <c r="J29" i="5"/>
  <c r="I29" i="5"/>
  <c r="G29" i="5"/>
  <c r="E29" i="5"/>
  <c r="K28" i="5"/>
  <c r="J28" i="5"/>
  <c r="I28" i="5"/>
  <c r="G28" i="5"/>
  <c r="E28" i="5"/>
  <c r="K27" i="5"/>
  <c r="J27" i="5"/>
  <c r="I27" i="5"/>
  <c r="G27" i="5"/>
  <c r="E27" i="5"/>
  <c r="K26" i="5"/>
  <c r="J26" i="5"/>
  <c r="I26" i="5"/>
  <c r="G26" i="5"/>
  <c r="E26" i="5"/>
  <c r="K25" i="5"/>
  <c r="J25" i="5"/>
  <c r="I25" i="5"/>
  <c r="G25" i="5"/>
  <c r="E25" i="5"/>
  <c r="K24" i="5"/>
  <c r="J24" i="5"/>
  <c r="I24" i="5"/>
  <c r="G24" i="5"/>
  <c r="E24" i="5"/>
  <c r="K23" i="5"/>
  <c r="J23" i="5"/>
  <c r="I23" i="5"/>
  <c r="G23" i="5"/>
  <c r="E23" i="5"/>
  <c r="K22" i="5"/>
  <c r="J22" i="5"/>
  <c r="I22" i="5"/>
  <c r="G22" i="5"/>
  <c r="E22" i="5"/>
  <c r="K21" i="5"/>
  <c r="J21" i="5"/>
  <c r="I21" i="5"/>
  <c r="G21" i="5"/>
  <c r="E21" i="5"/>
  <c r="K20" i="5"/>
  <c r="J20" i="5"/>
  <c r="I20" i="5"/>
  <c r="G20" i="5"/>
  <c r="E20" i="5"/>
  <c r="K19" i="5"/>
  <c r="J19" i="5"/>
  <c r="I19" i="5"/>
  <c r="G19" i="5"/>
  <c r="E19" i="5"/>
  <c r="K18" i="5"/>
  <c r="J18" i="5"/>
  <c r="I18" i="5"/>
  <c r="G18" i="5"/>
  <c r="E18" i="5"/>
  <c r="K17" i="5"/>
  <c r="J17" i="5"/>
  <c r="I17" i="5"/>
  <c r="G17" i="5"/>
  <c r="E17" i="5"/>
  <c r="K16" i="5"/>
  <c r="J16" i="5"/>
  <c r="I16" i="5"/>
  <c r="G16" i="5"/>
  <c r="E16" i="5"/>
  <c r="K15" i="5"/>
  <c r="J15" i="5"/>
  <c r="I15" i="5"/>
  <c r="G15" i="5"/>
  <c r="E15" i="5"/>
  <c r="K14" i="5"/>
  <c r="J14" i="5"/>
  <c r="I14" i="5"/>
  <c r="G14" i="5"/>
  <c r="E14" i="5"/>
  <c r="K13" i="5"/>
  <c r="J13" i="5"/>
  <c r="I13" i="5"/>
  <c r="G13" i="5"/>
  <c r="E13" i="5"/>
  <c r="K12" i="5"/>
  <c r="J12" i="5"/>
  <c r="I12" i="5"/>
  <c r="G12" i="5"/>
  <c r="E12" i="5"/>
  <c r="K11" i="5"/>
  <c r="J11" i="5"/>
  <c r="I11" i="5"/>
  <c r="G11" i="5"/>
  <c r="E11" i="5"/>
  <c r="K10" i="5"/>
  <c r="J10" i="5"/>
  <c r="I10" i="5"/>
  <c r="G10" i="5"/>
  <c r="E10" i="5"/>
  <c r="K9" i="5"/>
  <c r="J9" i="5"/>
  <c r="I9" i="5"/>
  <c r="G9" i="5"/>
  <c r="E9" i="5"/>
  <c r="K8" i="5"/>
  <c r="J8" i="5"/>
  <c r="I8" i="5"/>
  <c r="G8" i="5"/>
  <c r="E8" i="5"/>
  <c r="K7" i="5"/>
  <c r="J7" i="5"/>
  <c r="I7" i="5"/>
  <c r="G7" i="5"/>
  <c r="E7" i="5"/>
  <c r="K6" i="5"/>
  <c r="J6" i="5"/>
  <c r="I6" i="5"/>
  <c r="G6" i="5"/>
  <c r="E6" i="5"/>
</calcChain>
</file>

<file path=xl/sharedStrings.xml><?xml version="1.0" encoding="utf-8"?>
<sst xmlns="http://schemas.openxmlformats.org/spreadsheetml/2006/main" count="389" uniqueCount="210">
  <si>
    <t xml:space="preserve">  ADP2026 — FICHIER SOMMATIF (ES)</t>
  </si>
  <si>
    <t>BOUARGANE · CRMEF Inezgane · Section EPS · 2025/2026</t>
  </si>
  <si>
    <t xml:space="preserve">  MODE D'EMPLOI</t>
  </si>
  <si>
    <t>ÉTAPE 1</t>
  </si>
  <si>
    <t>Remplissez la Feuille IDENTITÉ avec vos informations</t>
  </si>
  <si>
    <t>ÉTAPE 2</t>
  </si>
  <si>
    <t>Remplissez la Feuille CRITÈRES depuis votre grille_v1 validée</t>
  </si>
  <si>
    <t>ÉTAPE 3</t>
  </si>
  <si>
    <t>Remplissez la Feuille BARÈME ES · fourchettes ou valeurs chiffrables</t>
  </si>
  <si>
    <t>ÉTAPE 4</t>
  </si>
  <si>
    <t>Vérifiez la Feuille CALCUL /20 — formules automatiques</t>
  </si>
  <si>
    <t>ÉTAPE 5</t>
  </si>
  <si>
    <t>Testez sur la Feuille SIMULATION avant le terrain</t>
  </si>
  <si>
    <t>⚠ RÈGLE</t>
  </si>
  <si>
    <t>Ne remplissez ce fichier QU'APRÈS le visa formateur sur grille_v1</t>
  </si>
  <si>
    <t>Format temps STRICT : 10"2 · 1'30" · 0,90 — virgule obligatoire</t>
  </si>
  <si>
    <t>Un projet ES produit une note /20 obligatoirement · pas un profil</t>
  </si>
  <si>
    <t xml:space="preserve">  IDENTITÉ DU PROJET</t>
  </si>
  <si>
    <t>APS</t>
  </si>
  <si>
    <t>Basketball</t>
  </si>
  <si>
    <t>Code projet</t>
  </si>
  <si>
    <t>Famille</t>
  </si>
  <si>
    <t>Niveau scolaire</t>
  </si>
  <si>
    <t>Volume cycle</t>
  </si>
  <si>
    <t>Référentiel officiel</t>
  </si>
  <si>
    <t>DNB · Niveau 2 · CP4</t>
  </si>
  <si>
    <t>Conduites observées</t>
  </si>
  <si>
    <t>L'enseignant observe les élèves en situation de jeu à effectif réduit (3c3 ou 4c4). Il évalue la progression collective de la balle, les choix individuels (passe, dribble, tir) et la capacité à assumer les rôles d'arbitre et d'observateur.</t>
  </si>
  <si>
    <t>Niveau de contenu</t>
  </si>
  <si>
    <t>Note maximale</t>
  </si>
  <si>
    <t>/20 — calcul C1 + C2 uniquement · C3 = bonus</t>
  </si>
  <si>
    <t>Date remplissage</t>
  </si>
  <si>
    <t xml:space="preserve">  CRITÈRES D'ÉVALUATION — PROJET ES</t>
  </si>
  <si>
    <t>N°</t>
  </si>
  <si>
    <t>CRITÈRE
(intitulé exact référentiel)</t>
  </si>
  <si>
    <t>POINTS
(/20)</t>
  </si>
  <si>
    <t>TYPE DE DONNÉE</t>
  </si>
  <si>
    <t>DEGRÉ A
(terme exact)</t>
  </si>
  <si>
    <t>DEGRÉ B
(terme exact)</t>
  </si>
  <si>
    <t>DEGRÉ C
(terme exact)</t>
  </si>
  <si>
    <t>SPÉCIFICITÉ APS</t>
  </si>
  <si>
    <t>C1</t>
  </si>
  <si>
    <t>Efficacité collective dans le gain du match</t>
  </si>
  <si>
    <t>/8</t>
  </si>
  <si>
    <t>Niveau + fourchette (TYPE 1)</t>
  </si>
  <si>
    <t>Jeu direct</t>
  </si>
  <si>
    <t>Jeu simple, en contre-attaque ou placé</t>
  </si>
  <si>
    <t>Jeu varié, en contre-attaque ou placé</t>
  </si>
  <si>
    <t>Matchs à effectif réduit · bonus tir en 1c0 · résultat sur 6 pts + gains matchs 2 pts</t>
  </si>
  <si>
    <t>C2</t>
  </si>
  <si>
    <t>Efficacité individuelle dans l'organisation collective</t>
  </si>
  <si>
    <t>Joueur intermittent et peu collectif</t>
  </si>
  <si>
    <t>Joueur permettant le jeu rapide ou placé</t>
  </si>
  <si>
    <t>Joueur assurant le jeu rapide ou placé par des actions variées</t>
  </si>
  <si>
    <t>Évaluation porteur de balle + non-porteur · choix passe/dribble/tir</t>
  </si>
  <si>
    <t>C3</t>
  </si>
  <si>
    <t>Efficacité dans le rôle d'arbitre et d'observateur</t>
  </si>
  <si>
    <t>/4</t>
  </si>
  <si>
    <t>Rôles insuffisamment assurés</t>
  </si>
  <si>
    <t>Rôles assumés</t>
  </si>
  <si>
    <t>Rôles assurés</t>
  </si>
  <si>
    <t>Obligatoire DNB Niveau 2 · co-arbitrage + observations fiables</t>
  </si>
  <si>
    <t xml:space="preserve">  BARÈME ES — TABLEAUX DE PERFORMANCE PROGRESSIFS (10 NIVEAUX)</t>
  </si>
  <si>
    <t xml:space="preserve">  Le barème ne fait PAS référence aux degrés A · B · C. L'observateur mesure la performance et lit la note directement. Format STRICT : secondes → 10"2 · minutes → 1'30" · mètres → 0,90</t>
  </si>
  <si>
    <t xml:space="preserve">  SECTION A — CRITÈRES À NIVEAU + VALEUR DANS FOURCHETTE (TYPE 1)</t>
  </si>
  <si>
    <t xml:space="preserve">  TYPE 1 — Critères qualitatifs : l'observateur identifie le niveau (A · B · C) puis ÉCRIT la valeur précise dans la fourchette. Ex : B → 6/10. La valeur précise est OBLIGATOIRE — pas seulement le niveau.</t>
  </si>
  <si>
    <t>DEGRÉ
C1</t>
  </si>
  <si>
    <t>DESCRIPTEUR C1
(terme exact référentiel)</t>
  </si>
  <si>
    <t>FOURCHETTE C1
(plage de notes)</t>
  </si>
  <si>
    <t>NOTE C1
(/pts)</t>
  </si>
  <si>
    <t>DEGRÉ
C2</t>
  </si>
  <si>
    <t>DESCRIPTEUR C2
(terme exact référentiel)</t>
  </si>
  <si>
    <t>FOURCHETTE C2
(plage de notes)</t>
  </si>
  <si>
    <t>NOTE C2
(/pts)</t>
  </si>
  <si>
    <t>DEGRÉ C</t>
  </si>
  <si>
    <t>5 à 6 pts</t>
  </si>
  <si>
    <t>6–8/8</t>
  </si>
  <si>
    <t>6,5 à 8 pts</t>
  </si>
  <si>
    <t>DEGRÉ B</t>
  </si>
  <si>
    <t>3 à 4,5 pts</t>
  </si>
  <si>
    <t>3–5/8</t>
  </si>
  <si>
    <t>4 à 6 pts</t>
  </si>
  <si>
    <t>DEGRÉ A</t>
  </si>
  <si>
    <t>0 à 2,5 pts</t>
  </si>
  <si>
    <t>0–2/8</t>
  </si>
  <si>
    <t>0 à 3,5 pts</t>
  </si>
  <si>
    <t xml:space="preserve">  → Note /20 = valeur précise saisie par l'observateur dans la fourchette du degré identifié · calculée automatiquement dans la Feuille CALCUL NOTE SUR 20</t>
  </si>
  <si>
    <t xml:space="preserve">  SECTION B — CRITÈRES À VALEUR CHIFFRABLE · 10 NIVEAUX PAR GENRE (TYPE 2)</t>
  </si>
  <si>
    <t xml:space="preserve">  Saisie terrain : ÉCRIRE la performance mesurée au format strict. Lecture de la note dans le tableau — pas de calcul mental. Format : 10"2 · 1'30" · 0,90 · Barème genre si applicable.</t>
  </si>
  <si>
    <t>BARÈME C3 — Rôle arbitre et observateur</t>
  </si>
  <si>
    <t>BARÈME C3 — Gains des matchs (sur 2 pts)</t>
  </si>
  <si>
    <t>NIVEAU
PERFORMANCE</t>
  </si>
  <si>
    <t>PLAGE PERFORMANCE
(format strict)</t>
  </si>
  <si>
    <t>NOTE
(/pts)</t>
  </si>
  <si>
    <t>Saisie terrain</t>
  </si>
  <si>
    <t>Niveau 10</t>
  </si>
  <si>
    <t>Rôles assurés · données différenciées exploitables · arbitre autonome</t>
  </si>
  <si>
    <t>3,5–4/4</t>
  </si>
  <si>
    <t>Écrire → lire note</t>
  </si>
  <si>
    <t>≥ 4 victoires / 4 matchs</t>
  </si>
  <si>
    <t>2/2</t>
  </si>
  <si>
    <t>Niveau  9</t>
  </si>
  <si>
    <t>3,5/4</t>
  </si>
  <si>
    <t>3 victoires / 4 matchs</t>
  </si>
  <si>
    <t>1,5/2</t>
  </si>
  <si>
    <t>Niveau  8</t>
  </si>
  <si>
    <t>Rôles assumés · données globales justes · arbitre avec aide</t>
  </si>
  <si>
    <t>3/4</t>
  </si>
  <si>
    <t>2 victoires / 4 matchs</t>
  </si>
  <si>
    <t>Niveau  7</t>
  </si>
  <si>
    <t>2,5/4</t>
  </si>
  <si>
    <t>1/2</t>
  </si>
  <si>
    <t>Niveau  6</t>
  </si>
  <si>
    <t>Rôles assumés · données globales · arbitre avec aide partielle</t>
  </si>
  <si>
    <t>2/4</t>
  </si>
  <si>
    <t>1 victoire / 4 matchs</t>
  </si>
  <si>
    <t>Niveau  5</t>
  </si>
  <si>
    <t>Rôles insuffisants · données peu fiables · hésite en arbitrage</t>
  </si>
  <si>
    <t>1,5/4</t>
  </si>
  <si>
    <t>0,5/2</t>
  </si>
  <si>
    <t>Niveau  4</t>
  </si>
  <si>
    <t>1/4</t>
  </si>
  <si>
    <t>0 victoire / 4 matchs</t>
  </si>
  <si>
    <t>Niveau  3</t>
  </si>
  <si>
    <t>Rôles non assurés · données absentes ou fausses</t>
  </si>
  <si>
    <t>0,5/4</t>
  </si>
  <si>
    <t>0/2</t>
  </si>
  <si>
    <t>Niveau  2</t>
  </si>
  <si>
    <t>0 victoire · abandon</t>
  </si>
  <si>
    <t>Niveau  1</t>
  </si>
  <si>
    <t>Rôles non assurés · présence passive</t>
  </si>
  <si>
    <t>0/4</t>
  </si>
  <si>
    <t xml:space="preserve">  ↑ EXEMPLE HAIES — Remplacez par les valeurs de votre APS selon le référentiel officiel. Format STRICT : 10"2 · 1'30" · 0,90</t>
  </si>
  <si>
    <t xml:space="preserve">  BARÈME CRITÈRE C2 — À COMPLÉTER selon votre APS</t>
  </si>
  <si>
    <t>GENRE 1 — Critère C2</t>
  </si>
  <si>
    <t>GENRE 2 — Critère C2</t>
  </si>
  <si>
    <t>NIVEAU</t>
  </si>
  <si>
    <t>PLAGE PERFORMANCE</t>
  </si>
  <si>
    <t>NOTE</t>
  </si>
  <si>
    <t>Saisie</t>
  </si>
  <si>
    <t>ex : ≤ 16" · ≥ 5m · &gt; 30 pts</t>
  </si>
  <si>
    <t>10/10</t>
  </si>
  <si>
    <t>ex : ≤ 18"5 · ≥ 4m · &gt; 25 pts</t>
  </si>
  <si>
    <t>9/10</t>
  </si>
  <si>
    <t>8/10</t>
  </si>
  <si>
    <t>7/10</t>
  </si>
  <si>
    <t>6/10</t>
  </si>
  <si>
    <t>5/10</t>
  </si>
  <si>
    <t>4/10</t>
  </si>
  <si>
    <t>3/10</t>
  </si>
  <si>
    <t>2/10</t>
  </si>
  <si>
    <t>1/10</t>
  </si>
  <si>
    <t xml:space="preserve">  SECTION C — RÈGLES DE FORMAT ET DE SAISIE</t>
  </si>
  <si>
    <t>FORMAT STRICT</t>
  </si>
  <si>
    <t>Secondes → 10"2 · Minutes → 1'30" · Mètres → 0,90 · Virgule décimale OBLIGATOIRE</t>
  </si>
  <si>
    <t>PAS DE A/B/C</t>
  </si>
  <si>
    <t>Le barème TYPE 2 ne référence jamais les degrés A·B·C · lecture directe de la note</t>
  </si>
  <si>
    <t>LECTURE DIRECTE</t>
  </si>
  <si>
    <t>L'observateur mesure · cherche la plage · lit la note · pas de calcul mental</t>
  </si>
  <si>
    <t>DOUTE</t>
  </si>
  <si>
    <t>Case vide + '?' · jamais inventer · signaler dans Observations libres</t>
  </si>
  <si>
    <t>GENRE</t>
  </si>
  <si>
    <t>Si barème genré · identifier le genre AVANT la séance · pas pendant</t>
  </si>
  <si>
    <t>TEST AVANT</t>
  </si>
  <si>
    <t>Simuler 3 élèves fictifs sur la Feuille TEST SIMULATION avant le terrain</t>
  </si>
  <si>
    <t xml:space="preserve">  CALCUL DE LA NOTE SUR 20 — AUTOMATIQUE</t>
  </si>
  <si>
    <t>Saisissez les notes C1 · C2 · C3 pour chaque élève. La note /20 est calculée automatiquement. Alerte si valeur hors fourchette.</t>
  </si>
  <si>
    <t>N° ÉLÈVE</t>
  </si>
  <si>
    <t>NOM / PRÉNOM
(optionnel)</t>
  </si>
  <si>
    <t>NOTE C1
(/10 ou /8)</t>
  </si>
  <si>
    <t>DEGRÉ C1</t>
  </si>
  <si>
    <t>NOTE C2
(/10 ou /8)</t>
  </si>
  <si>
    <t>DEGRÉ C2</t>
  </si>
  <si>
    <t>NOTE C3
(/4 si présent)</t>
  </si>
  <si>
    <t>DEGRÉ C3</t>
  </si>
  <si>
    <t>NOTE SUR 20
(auto)</t>
  </si>
  <si>
    <t>ALERTE</t>
  </si>
  <si>
    <t>0</t>
  </si>
  <si>
    <t xml:space="preserve">  TEST SIMULATION AVANT TERRAIN — PROJET ES</t>
  </si>
  <si>
    <t>Simulez la notation de 3 élèves fictifs. Vérifiez que le barème est lisible directement · le calcul /20 correct · la procédure fluide en moins de 10 secondes par élève.</t>
  </si>
  <si>
    <t>CRITÈRE</t>
  </si>
  <si>
    <t>ÉLÈVE 1 — Débutant
(profil A dominant)</t>
  </si>
  <si>
    <t>Valeur saisie</t>
  </si>
  <si>
    <t>ÉLÈVE 2 — Interméd.
(profil B dominant)</t>
  </si>
  <si>
    <t>ÉLÈVE 3 — Avancé
(profil C dominant)</t>
  </si>
  <si>
    <t>Jeu direct — progression simple vers panier</t>
  </si>
  <si>
    <t>2/8</t>
  </si>
  <si>
    <t>Jeu en contre-attaque ou attaque placée</t>
  </si>
  <si>
    <t>5/8</t>
  </si>
  <si>
    <t>Jeu varié, adaptation constante au rapport de force</t>
  </si>
  <si>
    <t>7/8</t>
  </si>
  <si>
    <t>Joueur intermittent : mauvais choix passe/dribble/tir</t>
  </si>
  <si>
    <t>Joueur permettant jeu rapide : conserve balle, offre solution</t>
  </si>
  <si>
    <t>Joueur bonifiant les balles : varie accès à la cible, tire favorable</t>
  </si>
  <si>
    <t>C3 (bonus)</t>
  </si>
  <si>
    <t>Rôles insuffisants : données peu fiables, hésite arbitrer</t>
  </si>
  <si>
    <t>Rôles assumés : données globales, arbitre avec aide</t>
  </si>
  <si>
    <t>Rôles assurés : données différenciées, arbitre autonome</t>
  </si>
  <si>
    <t>Note /20 simulée — à vérifier avec la Feuille CALCUL NOTE SUR 20</t>
  </si>
  <si>
    <t>✓ Le barème est-il lisible en moins de 3 secondes ?</t>
  </si>
  <si>
    <t>OUI</t>
  </si>
  <si>
    <t>✓ La procédure de saisie est-elle fluide (&lt; 10 sec/élève) ?</t>
  </si>
  <si>
    <t>✓ Le calcul /20 est-il correct (Feuille CALCUL) ?</t>
  </si>
  <si>
    <t>✓ Les alertes s'affichent-elles si valeur hors fourchette ?</t>
  </si>
  <si>
    <t>✓ Testez avec une valeur erronée : l'alerte se déclenche-t-elle ?</t>
  </si>
  <si>
    <t>ES-BKT</t>
  </si>
  <si>
    <t xml:space="preserve"> collège · lycée</t>
  </si>
  <si>
    <t>12 séances</t>
  </si>
  <si>
    <t>1 · 2 · 3 — lu depuis synthese_TD1 Section 3</t>
  </si>
  <si>
    <t>Sports collectifs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</si>
</sst>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9.5"/>
      <color rgb="FF16A34A"/>
      <name val="Arial"/>
    </font>
    <font>
      <sz val="9.5"/>
      <color rgb="FF111111"/>
      <name val="Arial"/>
    </font>
    <font>
      <i/>
      <sz val="9.5"/>
      <color rgb="FF555555"/>
      <name val="Arial"/>
    </font>
    <font>
      <b/>
      <sz val="10"/>
      <color rgb="FFFFFFFF"/>
      <name val="Arial"/>
    </font>
    <font>
      <i/>
      <sz val="9"/>
      <color rgb="FF2563EB"/>
      <name val="Arial"/>
    </font>
    <font>
      <b/>
      <sz val="10"/>
      <color rgb="FF111111"/>
      <name val="Arial"/>
    </font>
    <font>
      <b/>
      <sz val="9.5"/>
      <color rgb="FF1E3A5F"/>
      <name val="Arial"/>
    </font>
    <font>
      <i/>
      <sz val="8.5"/>
      <color rgb="FF888888"/>
      <name val="Arial"/>
    </font>
    <font>
      <i/>
      <sz val="9"/>
      <color rgb="FF16A34A"/>
      <name val="Arial"/>
    </font>
    <font>
      <b/>
      <sz val="9.5"/>
      <color rgb="FF111111"/>
      <name val="Arial"/>
    </font>
    <font>
      <b/>
      <sz val="10"/>
      <color rgb="FF16A34A"/>
      <name val="Arial"/>
    </font>
    <font>
      <sz val="9"/>
      <color rgb="FF111111"/>
      <name val="Arial"/>
    </font>
    <font>
      <i/>
      <sz val="9"/>
      <color rgb="FF555555"/>
      <name val="Arial"/>
    </font>
    <font>
      <sz val="9"/>
      <color rgb="FF16A34A"/>
      <name val="Arial"/>
    </font>
    <font>
      <b/>
      <sz val="9.5"/>
      <color rgb="FFFFFFFF"/>
      <name val="Arial"/>
    </font>
    <font>
      <sz val="8.5"/>
      <color rgb="FF888888"/>
      <name val="Arial"/>
    </font>
  </fonts>
  <fills count="13">
    <fill>
      <patternFill patternType="none"/>
    </fill>
    <fill>
      <patternFill patternType="gray125"/>
    </fill>
    <fill>
      <patternFill patternType="solid">
        <fgColor rgb="FF16A34A"/>
      </patternFill>
    </fill>
    <fill>
      <patternFill patternType="solid">
        <fgColor rgb="FFF0FDF4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FFF9C4"/>
      </patternFill>
    </fill>
    <fill>
      <patternFill patternType="solid">
        <fgColor rgb="FFFCEBEB"/>
      </patternFill>
    </fill>
    <fill>
      <patternFill patternType="solid">
        <fgColor rgb="FFFAEEDA"/>
      </patternFill>
    </fill>
    <fill>
      <patternFill patternType="solid">
        <fgColor rgb="FFEAF3DE"/>
      </patternFill>
    </fill>
    <fill>
      <patternFill patternType="solid">
        <fgColor rgb="FF2563EB"/>
      </patternFill>
    </fill>
    <fill>
      <patternFill patternType="solid">
        <fgColor rgb="FFEFF6FF"/>
      </patternFill>
    </fill>
    <fill>
      <patternFill patternType="solid">
        <fgColor rgb="FF1E3A5F"/>
      </patternFill>
    </fill>
  </fills>
  <borders count="1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medium">
        <color rgb="FFD97706"/>
      </left>
      <right style="medium">
        <color rgb="FFD97706"/>
      </right>
      <top style="medium">
        <color rgb="FFD97706"/>
      </top>
      <bottom style="medium">
        <color rgb="FFD97706"/>
      </bottom>
      <diagonal/>
    </border>
    <border>
      <left style="medium">
        <color rgb="FF16A34A"/>
      </left>
      <right style="medium">
        <color rgb="FF16A34A"/>
      </right>
      <top style="medium">
        <color rgb="FF16A34A"/>
      </top>
      <bottom style="medium">
        <color rgb="FF16A34A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  <border>
      <left/>
      <right/>
      <top style="hair">
        <color rgb="FFFFFFFF"/>
      </top>
      <bottom style="hair">
        <color rgb="FFFFFFFF"/>
      </bottom>
      <diagonal/>
    </border>
    <border>
      <left/>
      <right style="hair">
        <color rgb="FFFFFFFF"/>
      </right>
      <top style="hair">
        <color rgb="FFFFFFFF"/>
      </top>
      <bottom style="hair">
        <color rgb="FFFFFFFF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4" borderId="4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2" fillId="5" borderId="4" xfId="0" applyFont="1" applyFill="1" applyBorder="1" applyAlignment="1">
      <alignment horizontal="left" vertical="center" wrapText="1"/>
    </xf>
    <xf numFmtId="0" fontId="3" fillId="5" borderId="4" xfId="0" applyFont="1" applyFill="1" applyBorder="1" applyAlignment="1">
      <alignment horizontal="left" vertical="center" wrapText="1"/>
    </xf>
    <xf numFmtId="0" fontId="4" fillId="6" borderId="6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left" vertical="center" wrapText="1"/>
    </xf>
    <xf numFmtId="0" fontId="4" fillId="8" borderId="6" xfId="0" applyFont="1" applyFill="1" applyBorder="1" applyAlignment="1">
      <alignment horizontal="left" vertical="center" wrapText="1"/>
    </xf>
    <xf numFmtId="0" fontId="4" fillId="9" borderId="6" xfId="0" applyFont="1" applyFill="1" applyBorder="1" applyAlignment="1">
      <alignment horizontal="left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16" fillId="12" borderId="1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17" fillId="4" borderId="4" xfId="0" applyFont="1" applyFill="1" applyBorder="1" applyAlignment="1">
      <alignment horizontal="center" vertical="center" wrapText="1"/>
    </xf>
    <xf numFmtId="0" fontId="17" fillId="5" borderId="4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7" fillId="9" borderId="4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7" fillId="8" borderId="4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left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0" fillId="5" borderId="9" xfId="0" applyFill="1" applyBorder="1"/>
    <xf numFmtId="0" fontId="0" fillId="0" borderId="0" xfId="0"/>
    <xf numFmtId="15" fontId="4" fillId="6" borderId="6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2" fillId="3" borderId="4" xfId="0" applyFont="1" applyFill="1" applyBorder="1" applyAlignment="1">
      <alignment horizontal="left" vertical="center" wrapText="1"/>
    </xf>
    <xf numFmtId="0" fontId="0" fillId="0" borderId="5" xfId="0" applyBorder="1"/>
    <xf numFmtId="0" fontId="8" fillId="5" borderId="4" xfId="0" applyFont="1" applyFill="1" applyBorder="1" applyAlignment="1">
      <alignment horizontal="left" vertical="center" wrapText="1"/>
    </xf>
    <xf numFmtId="0" fontId="1" fillId="12" borderId="0" xfId="0" applyFont="1" applyFill="1" applyAlignment="1">
      <alignment horizontal="left" vertical="center" wrapText="1"/>
    </xf>
    <xf numFmtId="0" fontId="0" fillId="0" borderId="0" xfId="0"/>
    <xf numFmtId="0" fontId="13" fillId="4" borderId="4" xfId="0" applyFont="1" applyFill="1" applyBorder="1" applyAlignment="1">
      <alignment horizontal="left" vertical="center" wrapText="1"/>
    </xf>
    <xf numFmtId="0" fontId="0" fillId="0" borderId="8" xfId="0" applyBorder="1"/>
    <xf numFmtId="0" fontId="16" fillId="12" borderId="0" xfId="0" applyFont="1" applyFill="1" applyAlignment="1">
      <alignment horizontal="center" vertical="center" wrapText="1"/>
    </xf>
    <xf numFmtId="0" fontId="8" fillId="4" borderId="4" xfId="0" applyFont="1" applyFill="1" applyBorder="1" applyAlignment="1">
      <alignment horizontal="left" vertical="center" wrapText="1"/>
    </xf>
    <xf numFmtId="0" fontId="13" fillId="5" borderId="4" xfId="0" applyFont="1" applyFill="1" applyBorder="1" applyAlignment="1">
      <alignment horizontal="left" vertical="center" wrapText="1"/>
    </xf>
    <xf numFmtId="0" fontId="1" fillId="10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6" fillId="11" borderId="0" xfId="0" applyFont="1" applyFill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0" fillId="3" borderId="0" xfId="0" applyFont="1" applyFill="1" applyAlignment="1">
      <alignment horizontal="left" vertical="center" wrapText="1"/>
    </xf>
    <xf numFmtId="0" fontId="10" fillId="3" borderId="9" xfId="0" applyFont="1" applyFill="1" applyBorder="1" applyAlignment="1">
      <alignment horizontal="left" vertical="center" wrapText="1"/>
    </xf>
    <xf numFmtId="0" fontId="0" fillId="0" borderId="10" xfId="0" applyBorder="1"/>
    <xf numFmtId="0" fontId="0" fillId="0" borderId="11" xfId="0" applyBorder="1"/>
    <xf numFmtId="0" fontId="15" fillId="4" borderId="4" xfId="0" applyFont="1" applyFill="1" applyBorder="1" applyAlignment="1">
      <alignment horizontal="left" vertical="center" wrapText="1"/>
    </xf>
    <xf numFmtId="0" fontId="15" fillId="5" borderId="4" xfId="0" applyFont="1" applyFill="1" applyBorder="1" applyAlignment="1">
      <alignment horizontal="left" vertical="center" wrapText="1"/>
    </xf>
    <xf numFmtId="0" fontId="12" fillId="3" borderId="0" xfId="0" applyFont="1" applyFill="1" applyAlignment="1">
      <alignment horizontal="center" vertical="center" wrapText="1"/>
    </xf>
    <xf numFmtId="0" fontId="14" fillId="4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showGridLines="0" workbookViewId="0"/>
  </sheetViews>
  <sheetFormatPr baseColWidth="10" defaultColWidth="8.85546875" defaultRowHeight="15" x14ac:dyDescent="0.25"/>
  <cols>
    <col min="1" max="1" width="3" style="40" customWidth="1"/>
    <col min="2" max="2" width="30" style="40" customWidth="1"/>
    <col min="3" max="3" width="50" style="40" customWidth="1"/>
  </cols>
  <sheetData>
    <row r="1" spans="1:3" ht="7.9" customHeight="1" x14ac:dyDescent="0.25"/>
    <row r="2" spans="1:3" ht="28.15" customHeight="1" x14ac:dyDescent="0.25">
      <c r="A2" s="42" t="s">
        <v>0</v>
      </c>
      <c r="B2" s="43"/>
      <c r="C2" s="44"/>
    </row>
    <row r="4" spans="1:3" x14ac:dyDescent="0.25">
      <c r="B4" s="45" t="s">
        <v>1</v>
      </c>
      <c r="C4" s="46"/>
    </row>
    <row r="6" spans="1:3" ht="6" customHeight="1" x14ac:dyDescent="0.25"/>
    <row r="7" spans="1:3" ht="22.15" customHeight="1" x14ac:dyDescent="0.25">
      <c r="A7" s="42" t="s">
        <v>2</v>
      </c>
      <c r="B7" s="43"/>
      <c r="C7" s="44"/>
    </row>
    <row r="9" spans="1:3" ht="18" customHeight="1" x14ac:dyDescent="0.25">
      <c r="B9" s="1" t="s">
        <v>3</v>
      </c>
      <c r="C9" s="2" t="s">
        <v>4</v>
      </c>
    </row>
    <row r="10" spans="1:3" ht="18" customHeight="1" x14ac:dyDescent="0.25">
      <c r="B10" s="3" t="s">
        <v>5</v>
      </c>
      <c r="C10" s="4" t="s">
        <v>6</v>
      </c>
    </row>
    <row r="11" spans="1:3" ht="18" customHeight="1" x14ac:dyDescent="0.25">
      <c r="B11" s="1" t="s">
        <v>7</v>
      </c>
      <c r="C11" s="2" t="s">
        <v>8</v>
      </c>
    </row>
    <row r="12" spans="1:3" ht="18" customHeight="1" x14ac:dyDescent="0.25">
      <c r="B12" s="3" t="s">
        <v>9</v>
      </c>
      <c r="C12" s="4" t="s">
        <v>10</v>
      </c>
    </row>
    <row r="13" spans="1:3" ht="18" customHeight="1" x14ac:dyDescent="0.25">
      <c r="B13" s="1" t="s">
        <v>11</v>
      </c>
      <c r="C13" s="2" t="s">
        <v>12</v>
      </c>
    </row>
    <row r="14" spans="1:3" ht="18" customHeight="1" x14ac:dyDescent="0.25">
      <c r="B14" s="3" t="s">
        <v>13</v>
      </c>
      <c r="C14" s="4" t="s">
        <v>14</v>
      </c>
    </row>
    <row r="15" spans="1:3" ht="18" customHeight="1" x14ac:dyDescent="0.25">
      <c r="B15" s="1" t="s">
        <v>13</v>
      </c>
      <c r="C15" s="2" t="s">
        <v>15</v>
      </c>
    </row>
    <row r="16" spans="1:3" ht="18" customHeight="1" x14ac:dyDescent="0.25">
      <c r="B16" s="3" t="s">
        <v>13</v>
      </c>
      <c r="C16" s="4" t="s">
        <v>16</v>
      </c>
    </row>
  </sheetData>
  <mergeCells count="3">
    <mergeCell ref="A7:C7"/>
    <mergeCell ref="B4:C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showGridLines="0" workbookViewId="0">
      <selection activeCell="C6" sqref="C6"/>
    </sheetView>
  </sheetViews>
  <sheetFormatPr baseColWidth="10" defaultColWidth="8.85546875" defaultRowHeight="15" x14ac:dyDescent="0.25"/>
  <cols>
    <col min="1" max="1" width="3" style="40" customWidth="1"/>
    <col min="2" max="2" width="28" style="40" customWidth="1"/>
    <col min="3" max="3" width="40" style="40" customWidth="1"/>
  </cols>
  <sheetData>
    <row r="1" spans="1:3" ht="7.9" customHeight="1" x14ac:dyDescent="0.25"/>
    <row r="2" spans="1:3" ht="28.15" customHeight="1" x14ac:dyDescent="0.25">
      <c r="A2" s="42" t="s">
        <v>17</v>
      </c>
      <c r="B2" s="43"/>
      <c r="C2" s="43"/>
    </row>
    <row r="3" spans="1:3" ht="15.75" thickBot="1" x14ac:dyDescent="0.3"/>
    <row r="4" spans="1:3" ht="22.15" customHeight="1" thickBot="1" x14ac:dyDescent="0.3">
      <c r="B4" s="1" t="s">
        <v>18</v>
      </c>
      <c r="C4" s="5" t="s">
        <v>19</v>
      </c>
    </row>
    <row r="5" spans="1:3" ht="22.15" customHeight="1" thickBot="1" x14ac:dyDescent="0.3">
      <c r="B5" s="3" t="s">
        <v>20</v>
      </c>
      <c r="C5" s="5" t="s">
        <v>205</v>
      </c>
    </row>
    <row r="6" spans="1:3" ht="22.15" customHeight="1" thickBot="1" x14ac:dyDescent="0.3">
      <c r="B6" s="1" t="s">
        <v>21</v>
      </c>
      <c r="C6" s="5" t="s">
        <v>209</v>
      </c>
    </row>
    <row r="7" spans="1:3" ht="22.15" customHeight="1" thickBot="1" x14ac:dyDescent="0.3">
      <c r="B7" s="3" t="s">
        <v>22</v>
      </c>
      <c r="C7" s="5" t="s">
        <v>206</v>
      </c>
    </row>
    <row r="8" spans="1:3" ht="22.15" customHeight="1" thickBot="1" x14ac:dyDescent="0.3">
      <c r="B8" s="1" t="s">
        <v>23</v>
      </c>
      <c r="C8" s="5" t="s">
        <v>207</v>
      </c>
    </row>
    <row r="9" spans="1:3" ht="22.15" customHeight="1" thickBot="1" x14ac:dyDescent="0.3">
      <c r="B9" s="3" t="s">
        <v>24</v>
      </c>
      <c r="C9" s="5" t="s">
        <v>25</v>
      </c>
    </row>
    <row r="10" spans="1:3" ht="22.15" customHeight="1" thickBot="1" x14ac:dyDescent="0.3">
      <c r="B10" s="1" t="s">
        <v>26</v>
      </c>
      <c r="C10" s="5" t="s">
        <v>27</v>
      </c>
    </row>
    <row r="11" spans="1:3" ht="22.15" customHeight="1" thickBot="1" x14ac:dyDescent="0.3">
      <c r="B11" s="3" t="s">
        <v>28</v>
      </c>
      <c r="C11" s="5" t="s">
        <v>208</v>
      </c>
    </row>
    <row r="12" spans="1:3" ht="22.15" customHeight="1" thickBot="1" x14ac:dyDescent="0.3">
      <c r="B12" s="1" t="s">
        <v>29</v>
      </c>
      <c r="C12" s="5" t="s">
        <v>30</v>
      </c>
    </row>
    <row r="13" spans="1:3" ht="22.15" customHeight="1" thickBot="1" x14ac:dyDescent="0.3">
      <c r="B13" s="3" t="s">
        <v>31</v>
      </c>
      <c r="C13" s="41">
        <v>46142</v>
      </c>
    </row>
  </sheetData>
  <mergeCells count="1"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showGridLines="0" tabSelected="1" workbookViewId="0"/>
  </sheetViews>
  <sheetFormatPr baseColWidth="10" defaultColWidth="8.85546875" defaultRowHeight="15" x14ac:dyDescent="0.25"/>
  <cols>
    <col min="1" max="1" width="3" style="40" customWidth="1"/>
    <col min="2" max="2" width="5" style="40" customWidth="1"/>
    <col min="3" max="3" width="28" style="40" customWidth="1"/>
    <col min="4" max="4" width="12" style="40" customWidth="1"/>
    <col min="5" max="7" width="22" style="40" customWidth="1"/>
    <col min="8" max="8" width="18" style="40" customWidth="1"/>
  </cols>
  <sheetData>
    <row r="1" spans="1:9" ht="7.9" customHeight="1" x14ac:dyDescent="0.25"/>
    <row r="2" spans="1:9" ht="28.15" customHeight="1" x14ac:dyDescent="0.25">
      <c r="A2" s="42" t="s">
        <v>32</v>
      </c>
      <c r="B2" s="43"/>
      <c r="C2" s="43"/>
      <c r="D2" s="43"/>
      <c r="E2" s="43"/>
      <c r="F2" s="43"/>
      <c r="G2" s="43"/>
      <c r="H2" s="44"/>
    </row>
    <row r="3" spans="1:9" ht="36" customHeight="1" x14ac:dyDescent="0.25">
      <c r="B3" s="6" t="s">
        <v>33</v>
      </c>
      <c r="C3" s="6" t="s">
        <v>34</v>
      </c>
      <c r="D3" s="6" t="s">
        <v>35</v>
      </c>
      <c r="E3" s="6" t="s">
        <v>36</v>
      </c>
      <c r="F3" s="6" t="s">
        <v>37</v>
      </c>
      <c r="G3" s="6" t="s">
        <v>38</v>
      </c>
      <c r="H3" s="6" t="s">
        <v>39</v>
      </c>
      <c r="I3" s="6" t="s">
        <v>40</v>
      </c>
    </row>
    <row r="4" spans="1:9" ht="45" customHeight="1" x14ac:dyDescent="0.25">
      <c r="B4" s="7" t="s">
        <v>41</v>
      </c>
      <c r="C4" s="5" t="s">
        <v>42</v>
      </c>
      <c r="D4" s="5" t="s">
        <v>43</v>
      </c>
      <c r="E4" s="8" t="s">
        <v>44</v>
      </c>
      <c r="F4" s="9" t="s">
        <v>45</v>
      </c>
      <c r="G4" s="10" t="s">
        <v>46</v>
      </c>
      <c r="H4" s="5" t="s">
        <v>47</v>
      </c>
      <c r="I4" s="5" t="s">
        <v>48</v>
      </c>
    </row>
    <row r="5" spans="1:9" ht="45" customHeight="1" x14ac:dyDescent="0.25">
      <c r="B5" s="11" t="s">
        <v>49</v>
      </c>
      <c r="C5" s="5" t="s">
        <v>50</v>
      </c>
      <c r="D5" s="5" t="s">
        <v>43</v>
      </c>
      <c r="E5" s="8" t="s">
        <v>44</v>
      </c>
      <c r="F5" s="9" t="s">
        <v>51</v>
      </c>
      <c r="G5" s="10" t="s">
        <v>52</v>
      </c>
      <c r="H5" s="5" t="s">
        <v>53</v>
      </c>
      <c r="I5" s="5" t="s">
        <v>54</v>
      </c>
    </row>
    <row r="6" spans="1:9" ht="45" customHeight="1" x14ac:dyDescent="0.25">
      <c r="B6" s="7" t="s">
        <v>55</v>
      </c>
      <c r="C6" s="5" t="s">
        <v>56</v>
      </c>
      <c r="D6" s="5" t="s">
        <v>57</v>
      </c>
      <c r="E6" s="8" t="s">
        <v>44</v>
      </c>
      <c r="F6" s="9" t="s">
        <v>58</v>
      </c>
      <c r="G6" s="10" t="s">
        <v>59</v>
      </c>
      <c r="H6" s="5" t="s">
        <v>60</v>
      </c>
      <c r="I6" s="5" t="s">
        <v>61</v>
      </c>
    </row>
  </sheetData>
  <mergeCells count="1">
    <mergeCell ref="A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"/>
  <sheetViews>
    <sheetView showGridLines="0" topLeftCell="A45" workbookViewId="0"/>
  </sheetViews>
  <sheetFormatPr baseColWidth="10" defaultColWidth="8.85546875" defaultRowHeight="15" x14ac:dyDescent="0.25"/>
  <cols>
    <col min="1" max="1" width="3" style="40" customWidth="1"/>
    <col min="2" max="2" width="6" style="40" customWidth="1"/>
    <col min="3" max="3" width="22" style="40" customWidth="1"/>
    <col min="4" max="4" width="18" style="40" customWidth="1"/>
    <col min="5" max="5" width="12" style="40" customWidth="1"/>
    <col min="6" max="6" width="18" style="40" customWidth="1"/>
    <col min="7" max="7" width="12" style="40" customWidth="1"/>
    <col min="8" max="8" width="18" style="40" customWidth="1"/>
    <col min="9" max="9" width="12" style="40" customWidth="1"/>
  </cols>
  <sheetData>
    <row r="1" spans="1:9" ht="7.9" customHeight="1" x14ac:dyDescent="0.25"/>
    <row r="2" spans="1:9" ht="24" customHeight="1" x14ac:dyDescent="0.25">
      <c r="A2" s="56" t="s">
        <v>62</v>
      </c>
      <c r="B2" s="49"/>
      <c r="C2" s="49"/>
      <c r="D2" s="49"/>
      <c r="E2" s="49"/>
      <c r="F2" s="49"/>
      <c r="G2" s="49"/>
      <c r="H2" s="49"/>
      <c r="I2" s="49"/>
    </row>
    <row r="3" spans="1:9" ht="22.15" customHeight="1" x14ac:dyDescent="0.25">
      <c r="A3" s="59" t="s">
        <v>63</v>
      </c>
      <c r="B3" s="49"/>
      <c r="C3" s="49"/>
      <c r="D3" s="49"/>
      <c r="E3" s="49"/>
      <c r="F3" s="49"/>
      <c r="G3" s="49"/>
      <c r="H3" s="49"/>
      <c r="I3" s="49"/>
    </row>
    <row r="4" spans="1:9" ht="7.9" customHeight="1" x14ac:dyDescent="0.25"/>
    <row r="5" spans="1:9" ht="24" customHeight="1" x14ac:dyDescent="0.25">
      <c r="A5" s="55" t="s">
        <v>64</v>
      </c>
      <c r="B5" s="49"/>
      <c r="C5" s="49"/>
      <c r="D5" s="49"/>
      <c r="E5" s="49"/>
      <c r="F5" s="49"/>
      <c r="G5" s="49"/>
      <c r="H5" s="49"/>
      <c r="I5" s="49"/>
    </row>
    <row r="6" spans="1:9" ht="19.899999999999999" customHeight="1" x14ac:dyDescent="0.25">
      <c r="A6" s="57" t="s">
        <v>65</v>
      </c>
      <c r="B6" s="49"/>
      <c r="C6" s="49"/>
      <c r="D6" s="49"/>
      <c r="E6" s="49"/>
      <c r="F6" s="49"/>
      <c r="G6" s="49"/>
      <c r="H6" s="49"/>
      <c r="I6" s="49"/>
    </row>
    <row r="7" spans="1:9" ht="7.9" customHeight="1" x14ac:dyDescent="0.25"/>
    <row r="8" spans="1:9" ht="36" customHeight="1" x14ac:dyDescent="0.25">
      <c r="A8" s="20"/>
      <c r="B8" s="20" t="s">
        <v>66</v>
      </c>
      <c r="C8" s="20" t="s">
        <v>67</v>
      </c>
      <c r="D8" s="20" t="s">
        <v>68</v>
      </c>
      <c r="E8" s="20" t="s">
        <v>69</v>
      </c>
      <c r="F8" s="25" t="s">
        <v>70</v>
      </c>
      <c r="G8" s="25" t="s">
        <v>71</v>
      </c>
      <c r="H8" s="25" t="s">
        <v>72</v>
      </c>
      <c r="I8" s="25" t="s">
        <v>73</v>
      </c>
    </row>
    <row r="9" spans="1:9" ht="31.9" customHeight="1" x14ac:dyDescent="0.25">
      <c r="A9" s="26"/>
      <c r="B9" s="27" t="s">
        <v>74</v>
      </c>
      <c r="C9" s="10" t="s">
        <v>47</v>
      </c>
      <c r="D9" s="10" t="s">
        <v>75</v>
      </c>
      <c r="E9" s="28" t="s">
        <v>76</v>
      </c>
      <c r="F9" s="27" t="s">
        <v>74</v>
      </c>
      <c r="G9" s="10" t="s">
        <v>53</v>
      </c>
      <c r="H9" s="10" t="s">
        <v>77</v>
      </c>
      <c r="I9" s="28" t="s">
        <v>76</v>
      </c>
    </row>
    <row r="10" spans="1:9" ht="31.9" customHeight="1" x14ac:dyDescent="0.25">
      <c r="A10" s="29"/>
      <c r="B10" s="30" t="s">
        <v>78</v>
      </c>
      <c r="C10" s="9" t="s">
        <v>46</v>
      </c>
      <c r="D10" s="9" t="s">
        <v>79</v>
      </c>
      <c r="E10" s="31" t="s">
        <v>80</v>
      </c>
      <c r="F10" s="30" t="s">
        <v>78</v>
      </c>
      <c r="G10" s="9" t="s">
        <v>52</v>
      </c>
      <c r="H10" s="9" t="s">
        <v>81</v>
      </c>
      <c r="I10" s="31" t="s">
        <v>80</v>
      </c>
    </row>
    <row r="11" spans="1:9" ht="31.9" customHeight="1" x14ac:dyDescent="0.25">
      <c r="A11" s="32"/>
      <c r="B11" s="33" t="s">
        <v>82</v>
      </c>
      <c r="C11" s="8" t="s">
        <v>45</v>
      </c>
      <c r="D11" s="8" t="s">
        <v>83</v>
      </c>
      <c r="E11" s="34" t="s">
        <v>84</v>
      </c>
      <c r="F11" s="33" t="s">
        <v>82</v>
      </c>
      <c r="G11" s="8" t="s">
        <v>51</v>
      </c>
      <c r="H11" s="8" t="s">
        <v>85</v>
      </c>
      <c r="I11" s="34" t="s">
        <v>84</v>
      </c>
    </row>
    <row r="12" spans="1:9" ht="19.899999999999999" customHeight="1" x14ac:dyDescent="0.25">
      <c r="A12" s="60" t="s">
        <v>86</v>
      </c>
      <c r="B12" s="61"/>
      <c r="C12" s="61"/>
      <c r="D12" s="61"/>
      <c r="E12" s="61"/>
      <c r="F12" s="61"/>
      <c r="G12" s="61"/>
      <c r="H12" s="61"/>
      <c r="I12" s="62"/>
    </row>
    <row r="13" spans="1:9" ht="7.9" customHeight="1" x14ac:dyDescent="0.25">
      <c r="A13" s="35"/>
      <c r="B13" s="36"/>
      <c r="C13" s="37"/>
      <c r="D13" s="37"/>
      <c r="E13" s="38"/>
      <c r="F13" s="37"/>
      <c r="G13" s="37"/>
      <c r="H13" s="38"/>
      <c r="I13" s="37"/>
    </row>
    <row r="14" spans="1:9" ht="4.1500000000000004" customHeight="1" x14ac:dyDescent="0.25">
      <c r="A14" s="35"/>
      <c r="B14" s="36"/>
      <c r="C14" s="37"/>
      <c r="D14" s="37"/>
      <c r="E14" s="38"/>
      <c r="F14" s="37"/>
      <c r="G14" s="37"/>
      <c r="H14" s="38"/>
      <c r="I14" s="37"/>
    </row>
    <row r="15" spans="1:9" ht="4.1500000000000004" customHeight="1" x14ac:dyDescent="0.25">
      <c r="A15" s="35"/>
      <c r="B15" s="36"/>
      <c r="C15" s="37"/>
      <c r="D15" s="37"/>
      <c r="E15" s="38"/>
      <c r="F15" s="37"/>
      <c r="G15" s="37"/>
      <c r="H15" s="38"/>
      <c r="I15" s="37"/>
    </row>
    <row r="16" spans="1:9" ht="4.1500000000000004" customHeight="1" x14ac:dyDescent="0.25">
      <c r="A16" s="35"/>
      <c r="B16" s="36"/>
      <c r="C16" s="37"/>
      <c r="D16" s="37"/>
      <c r="E16" s="38"/>
      <c r="F16" s="37"/>
      <c r="G16" s="37"/>
      <c r="H16" s="38"/>
      <c r="I16" s="37"/>
    </row>
    <row r="17" spans="1:9" ht="4.1500000000000004" customHeight="1" x14ac:dyDescent="0.25">
      <c r="A17" s="35"/>
      <c r="B17" s="36"/>
      <c r="C17" s="37"/>
      <c r="D17" s="37"/>
      <c r="E17" s="38"/>
      <c r="F17" s="37"/>
      <c r="G17" s="37"/>
      <c r="H17" s="38"/>
      <c r="I17" s="37"/>
    </row>
    <row r="18" spans="1:9" ht="4.1500000000000004" customHeight="1" x14ac:dyDescent="0.25">
      <c r="A18" s="35"/>
      <c r="B18" s="36"/>
      <c r="C18" s="37"/>
      <c r="D18" s="37"/>
      <c r="E18" s="38"/>
      <c r="F18" s="37"/>
      <c r="G18" s="37"/>
      <c r="H18" s="38"/>
      <c r="I18" s="37"/>
    </row>
    <row r="19" spans="1:9" ht="4.1500000000000004" customHeight="1" x14ac:dyDescent="0.25">
      <c r="A19" s="39"/>
      <c r="B19" s="39"/>
      <c r="C19" s="39"/>
      <c r="D19" s="39"/>
      <c r="E19" s="39"/>
      <c r="F19" s="39"/>
      <c r="G19" s="39"/>
      <c r="H19" s="39"/>
      <c r="I19" s="39"/>
    </row>
    <row r="20" spans="1:9" ht="7.9" customHeight="1" x14ac:dyDescent="0.25"/>
    <row r="21" spans="1:9" ht="24" customHeight="1" x14ac:dyDescent="0.25">
      <c r="A21" s="55" t="s">
        <v>87</v>
      </c>
      <c r="B21" s="49"/>
      <c r="C21" s="49"/>
      <c r="D21" s="49"/>
      <c r="E21" s="49"/>
      <c r="F21" s="49"/>
      <c r="G21" s="49"/>
      <c r="H21" s="49"/>
      <c r="I21" s="49"/>
    </row>
    <row r="22" spans="1:9" ht="19.899999999999999" customHeight="1" x14ac:dyDescent="0.25">
      <c r="A22" s="57" t="s">
        <v>88</v>
      </c>
      <c r="B22" s="49"/>
      <c r="C22" s="49"/>
      <c r="D22" s="49"/>
      <c r="E22" s="49"/>
      <c r="F22" s="49"/>
      <c r="G22" s="49"/>
      <c r="H22" s="49"/>
      <c r="I22" s="49"/>
    </row>
    <row r="23" spans="1:9" ht="7.9" customHeight="1" x14ac:dyDescent="0.25"/>
    <row r="24" spans="1:9" ht="22.15" customHeight="1" x14ac:dyDescent="0.25">
      <c r="B24" s="52" t="s">
        <v>89</v>
      </c>
      <c r="C24" s="49"/>
      <c r="D24" s="49"/>
      <c r="E24" s="49"/>
      <c r="F24" s="52" t="s">
        <v>90</v>
      </c>
      <c r="G24" s="49"/>
      <c r="H24" s="49"/>
      <c r="I24" s="49"/>
    </row>
    <row r="25" spans="1:9" ht="31.9" customHeight="1" x14ac:dyDescent="0.25">
      <c r="A25" s="20"/>
      <c r="B25" s="20" t="s">
        <v>91</v>
      </c>
      <c r="C25" s="20" t="s">
        <v>92</v>
      </c>
      <c r="D25" s="20" t="s">
        <v>93</v>
      </c>
      <c r="E25" s="20" t="s">
        <v>94</v>
      </c>
      <c r="F25" s="20" t="s">
        <v>91</v>
      </c>
      <c r="G25" s="20" t="s">
        <v>92</v>
      </c>
      <c r="H25" s="20" t="s">
        <v>93</v>
      </c>
      <c r="I25" s="20" t="s">
        <v>94</v>
      </c>
    </row>
    <row r="26" spans="1:9" ht="25.9" customHeight="1" x14ac:dyDescent="0.25">
      <c r="A26" s="15"/>
      <c r="B26" s="21" t="s">
        <v>95</v>
      </c>
      <c r="C26" s="15" t="s">
        <v>96</v>
      </c>
      <c r="D26" s="7" t="s">
        <v>97</v>
      </c>
      <c r="E26" s="23" t="s">
        <v>98</v>
      </c>
      <c r="F26" s="21" t="s">
        <v>95</v>
      </c>
      <c r="G26" s="15" t="s">
        <v>99</v>
      </c>
      <c r="H26" s="7" t="s">
        <v>100</v>
      </c>
      <c r="I26" s="23" t="s">
        <v>98</v>
      </c>
    </row>
    <row r="27" spans="1:9" ht="25.9" customHeight="1" x14ac:dyDescent="0.25">
      <c r="A27" s="19"/>
      <c r="B27" s="22" t="s">
        <v>101</v>
      </c>
      <c r="C27" s="19" t="s">
        <v>96</v>
      </c>
      <c r="D27" s="11" t="s">
        <v>102</v>
      </c>
      <c r="E27" s="24" t="s">
        <v>98</v>
      </c>
      <c r="F27" s="22" t="s">
        <v>101</v>
      </c>
      <c r="G27" s="19" t="s">
        <v>103</v>
      </c>
      <c r="H27" s="11" t="s">
        <v>104</v>
      </c>
      <c r="I27" s="24" t="s">
        <v>98</v>
      </c>
    </row>
    <row r="28" spans="1:9" ht="25.9" customHeight="1" x14ac:dyDescent="0.25">
      <c r="A28" s="15"/>
      <c r="B28" s="21" t="s">
        <v>105</v>
      </c>
      <c r="C28" s="15" t="s">
        <v>106</v>
      </c>
      <c r="D28" s="7" t="s">
        <v>107</v>
      </c>
      <c r="E28" s="23" t="s">
        <v>98</v>
      </c>
      <c r="F28" s="21" t="s">
        <v>105</v>
      </c>
      <c r="G28" s="15" t="s">
        <v>108</v>
      </c>
      <c r="H28" s="7" t="s">
        <v>104</v>
      </c>
      <c r="I28" s="23" t="s">
        <v>98</v>
      </c>
    </row>
    <row r="29" spans="1:9" ht="25.9" customHeight="1" x14ac:dyDescent="0.25">
      <c r="A29" s="19"/>
      <c r="B29" s="22" t="s">
        <v>109</v>
      </c>
      <c r="C29" s="19" t="s">
        <v>106</v>
      </c>
      <c r="D29" s="11" t="s">
        <v>110</v>
      </c>
      <c r="E29" s="24" t="s">
        <v>98</v>
      </c>
      <c r="F29" s="22" t="s">
        <v>109</v>
      </c>
      <c r="G29" s="19" t="s">
        <v>108</v>
      </c>
      <c r="H29" s="11" t="s">
        <v>111</v>
      </c>
      <c r="I29" s="24" t="s">
        <v>98</v>
      </c>
    </row>
    <row r="30" spans="1:9" ht="25.9" customHeight="1" x14ac:dyDescent="0.25">
      <c r="A30" s="15"/>
      <c r="B30" s="21" t="s">
        <v>112</v>
      </c>
      <c r="C30" s="15" t="s">
        <v>113</v>
      </c>
      <c r="D30" s="7" t="s">
        <v>114</v>
      </c>
      <c r="E30" s="23" t="s">
        <v>98</v>
      </c>
      <c r="F30" s="21" t="s">
        <v>112</v>
      </c>
      <c r="G30" s="15" t="s">
        <v>115</v>
      </c>
      <c r="H30" s="7" t="s">
        <v>111</v>
      </c>
      <c r="I30" s="23" t="s">
        <v>98</v>
      </c>
    </row>
    <row r="31" spans="1:9" ht="25.9" customHeight="1" x14ac:dyDescent="0.25">
      <c r="A31" s="19"/>
      <c r="B31" s="22" t="s">
        <v>116</v>
      </c>
      <c r="C31" s="19" t="s">
        <v>117</v>
      </c>
      <c r="D31" s="11" t="s">
        <v>118</v>
      </c>
      <c r="E31" s="24" t="s">
        <v>98</v>
      </c>
      <c r="F31" s="22" t="s">
        <v>116</v>
      </c>
      <c r="G31" s="19" t="s">
        <v>115</v>
      </c>
      <c r="H31" s="11" t="s">
        <v>119</v>
      </c>
      <c r="I31" s="24" t="s">
        <v>98</v>
      </c>
    </row>
    <row r="32" spans="1:9" ht="25.9" customHeight="1" x14ac:dyDescent="0.25">
      <c r="A32" s="15"/>
      <c r="B32" s="21" t="s">
        <v>120</v>
      </c>
      <c r="C32" s="15" t="s">
        <v>117</v>
      </c>
      <c r="D32" s="7" t="s">
        <v>121</v>
      </c>
      <c r="E32" s="23" t="s">
        <v>98</v>
      </c>
      <c r="F32" s="21" t="s">
        <v>120</v>
      </c>
      <c r="G32" s="15" t="s">
        <v>122</v>
      </c>
      <c r="H32" s="7" t="s">
        <v>119</v>
      </c>
      <c r="I32" s="23" t="s">
        <v>98</v>
      </c>
    </row>
    <row r="33" spans="1:9" ht="25.9" customHeight="1" x14ac:dyDescent="0.25">
      <c r="A33" s="19"/>
      <c r="B33" s="22" t="s">
        <v>123</v>
      </c>
      <c r="C33" s="19" t="s">
        <v>124</v>
      </c>
      <c r="D33" s="11" t="s">
        <v>125</v>
      </c>
      <c r="E33" s="24" t="s">
        <v>98</v>
      </c>
      <c r="F33" s="22" t="s">
        <v>123</v>
      </c>
      <c r="G33" s="19" t="s">
        <v>122</v>
      </c>
      <c r="H33" s="11" t="s">
        <v>126</v>
      </c>
      <c r="I33" s="24" t="s">
        <v>98</v>
      </c>
    </row>
    <row r="34" spans="1:9" ht="25.9" customHeight="1" x14ac:dyDescent="0.25">
      <c r="A34" s="15"/>
      <c r="B34" s="21" t="s">
        <v>127</v>
      </c>
      <c r="C34" s="15" t="s">
        <v>124</v>
      </c>
      <c r="D34" s="7" t="s">
        <v>125</v>
      </c>
      <c r="E34" s="23" t="s">
        <v>98</v>
      </c>
      <c r="F34" s="21" t="s">
        <v>127</v>
      </c>
      <c r="G34" s="15" t="s">
        <v>128</v>
      </c>
      <c r="H34" s="7" t="s">
        <v>126</v>
      </c>
      <c r="I34" s="23" t="s">
        <v>98</v>
      </c>
    </row>
    <row r="35" spans="1:9" ht="25.9" customHeight="1" x14ac:dyDescent="0.25">
      <c r="A35" s="19"/>
      <c r="B35" s="22" t="s">
        <v>129</v>
      </c>
      <c r="C35" s="19" t="s">
        <v>130</v>
      </c>
      <c r="D35" s="11" t="s">
        <v>131</v>
      </c>
      <c r="E35" s="24" t="s">
        <v>98</v>
      </c>
      <c r="F35" s="22" t="s">
        <v>129</v>
      </c>
      <c r="G35" s="19" t="s">
        <v>128</v>
      </c>
      <c r="H35" s="11" t="s">
        <v>126</v>
      </c>
      <c r="I35" s="24" t="s">
        <v>98</v>
      </c>
    </row>
    <row r="37" spans="1:9" ht="18" customHeight="1" x14ac:dyDescent="0.25">
      <c r="A37" s="58" t="s">
        <v>132</v>
      </c>
      <c r="B37" s="49"/>
      <c r="C37" s="49"/>
      <c r="D37" s="49"/>
      <c r="E37" s="49"/>
      <c r="F37" s="49"/>
      <c r="G37" s="49"/>
      <c r="H37" s="49"/>
      <c r="I37" s="49"/>
    </row>
    <row r="38" spans="1:9" ht="7.9" customHeight="1" x14ac:dyDescent="0.25"/>
    <row r="39" spans="1:9" ht="24" customHeight="1" x14ac:dyDescent="0.25">
      <c r="A39" s="55" t="s">
        <v>133</v>
      </c>
      <c r="B39" s="49"/>
      <c r="C39" s="49"/>
      <c r="D39" s="49"/>
      <c r="E39" s="49"/>
      <c r="F39" s="49"/>
      <c r="G39" s="49"/>
      <c r="H39" s="49"/>
      <c r="I39" s="49"/>
    </row>
    <row r="40" spans="1:9" ht="22.15" customHeight="1" x14ac:dyDescent="0.25">
      <c r="B40" s="52" t="s">
        <v>134</v>
      </c>
      <c r="C40" s="49"/>
      <c r="D40" s="49"/>
      <c r="E40" s="49"/>
      <c r="F40" s="52" t="s">
        <v>135</v>
      </c>
      <c r="G40" s="49"/>
      <c r="H40" s="49"/>
      <c r="I40" s="49"/>
    </row>
    <row r="41" spans="1:9" ht="31.9" customHeight="1" x14ac:dyDescent="0.25">
      <c r="A41" s="20"/>
      <c r="B41" s="20" t="s">
        <v>136</v>
      </c>
      <c r="C41" s="20" t="s">
        <v>137</v>
      </c>
      <c r="D41" s="20" t="s">
        <v>138</v>
      </c>
      <c r="E41" s="20" t="s">
        <v>139</v>
      </c>
      <c r="F41" s="20" t="s">
        <v>136</v>
      </c>
      <c r="G41" s="20" t="s">
        <v>137</v>
      </c>
      <c r="H41" s="20" t="s">
        <v>138</v>
      </c>
      <c r="I41" s="20" t="s">
        <v>139</v>
      </c>
    </row>
    <row r="42" spans="1:9" ht="25.9" customHeight="1" x14ac:dyDescent="0.25">
      <c r="A42" s="15"/>
      <c r="B42" s="21" t="s">
        <v>95</v>
      </c>
      <c r="C42" s="5" t="s">
        <v>140</v>
      </c>
      <c r="D42" s="5" t="s">
        <v>141</v>
      </c>
      <c r="E42" s="23" t="s">
        <v>98</v>
      </c>
      <c r="F42" s="21" t="s">
        <v>95</v>
      </c>
      <c r="G42" s="5" t="s">
        <v>142</v>
      </c>
      <c r="H42" s="5" t="s">
        <v>141</v>
      </c>
      <c r="I42" s="23" t="s">
        <v>98</v>
      </c>
    </row>
    <row r="43" spans="1:9" ht="25.9" customHeight="1" x14ac:dyDescent="0.25">
      <c r="A43" s="19"/>
      <c r="B43" s="22" t="s">
        <v>101</v>
      </c>
      <c r="C43" s="5" t="s">
        <v>140</v>
      </c>
      <c r="D43" s="5" t="s">
        <v>143</v>
      </c>
      <c r="E43" s="24" t="s">
        <v>98</v>
      </c>
      <c r="F43" s="22" t="s">
        <v>101</v>
      </c>
      <c r="G43" s="5" t="s">
        <v>142</v>
      </c>
      <c r="H43" s="5" t="s">
        <v>143</v>
      </c>
      <c r="I43" s="24" t="s">
        <v>98</v>
      </c>
    </row>
    <row r="44" spans="1:9" ht="25.9" customHeight="1" x14ac:dyDescent="0.25">
      <c r="A44" s="15"/>
      <c r="B44" s="21" t="s">
        <v>105</v>
      </c>
      <c r="C44" s="5" t="s">
        <v>140</v>
      </c>
      <c r="D44" s="5" t="s">
        <v>144</v>
      </c>
      <c r="E44" s="23" t="s">
        <v>98</v>
      </c>
      <c r="F44" s="21" t="s">
        <v>105</v>
      </c>
      <c r="G44" s="5" t="s">
        <v>142</v>
      </c>
      <c r="H44" s="5" t="s">
        <v>144</v>
      </c>
      <c r="I44" s="23" t="s">
        <v>98</v>
      </c>
    </row>
    <row r="45" spans="1:9" ht="25.9" customHeight="1" x14ac:dyDescent="0.25">
      <c r="A45" s="19"/>
      <c r="B45" s="22" t="s">
        <v>109</v>
      </c>
      <c r="C45" s="5" t="s">
        <v>140</v>
      </c>
      <c r="D45" s="5" t="s">
        <v>145</v>
      </c>
      <c r="E45" s="24" t="s">
        <v>98</v>
      </c>
      <c r="F45" s="22" t="s">
        <v>109</v>
      </c>
      <c r="G45" s="5" t="s">
        <v>142</v>
      </c>
      <c r="H45" s="5" t="s">
        <v>145</v>
      </c>
      <c r="I45" s="24" t="s">
        <v>98</v>
      </c>
    </row>
    <row r="46" spans="1:9" ht="25.9" customHeight="1" x14ac:dyDescent="0.25">
      <c r="A46" s="15"/>
      <c r="B46" s="21" t="s">
        <v>112</v>
      </c>
      <c r="C46" s="5" t="s">
        <v>140</v>
      </c>
      <c r="D46" s="5" t="s">
        <v>146</v>
      </c>
      <c r="E46" s="23" t="s">
        <v>98</v>
      </c>
      <c r="F46" s="21" t="s">
        <v>112</v>
      </c>
      <c r="G46" s="5" t="s">
        <v>142</v>
      </c>
      <c r="H46" s="5" t="s">
        <v>146</v>
      </c>
      <c r="I46" s="23" t="s">
        <v>98</v>
      </c>
    </row>
    <row r="47" spans="1:9" ht="25.9" customHeight="1" x14ac:dyDescent="0.25">
      <c r="A47" s="19"/>
      <c r="B47" s="22" t="s">
        <v>116</v>
      </c>
      <c r="C47" s="5" t="s">
        <v>140</v>
      </c>
      <c r="D47" s="5" t="s">
        <v>147</v>
      </c>
      <c r="E47" s="24" t="s">
        <v>98</v>
      </c>
      <c r="F47" s="22" t="s">
        <v>116</v>
      </c>
      <c r="G47" s="5" t="s">
        <v>142</v>
      </c>
      <c r="H47" s="5" t="s">
        <v>147</v>
      </c>
      <c r="I47" s="24" t="s">
        <v>98</v>
      </c>
    </row>
    <row r="48" spans="1:9" ht="25.9" customHeight="1" x14ac:dyDescent="0.25">
      <c r="A48" s="15"/>
      <c r="B48" s="21" t="s">
        <v>120</v>
      </c>
      <c r="C48" s="5" t="s">
        <v>140</v>
      </c>
      <c r="D48" s="5" t="s">
        <v>148</v>
      </c>
      <c r="E48" s="23" t="s">
        <v>98</v>
      </c>
      <c r="F48" s="21" t="s">
        <v>120</v>
      </c>
      <c r="G48" s="5" t="s">
        <v>142</v>
      </c>
      <c r="H48" s="5" t="s">
        <v>148</v>
      </c>
      <c r="I48" s="23" t="s">
        <v>98</v>
      </c>
    </row>
    <row r="49" spans="1:9" ht="25.9" customHeight="1" x14ac:dyDescent="0.25">
      <c r="A49" s="19"/>
      <c r="B49" s="22" t="s">
        <v>123</v>
      </c>
      <c r="C49" s="5" t="s">
        <v>140</v>
      </c>
      <c r="D49" s="5" t="s">
        <v>149</v>
      </c>
      <c r="E49" s="24" t="s">
        <v>98</v>
      </c>
      <c r="F49" s="22" t="s">
        <v>123</v>
      </c>
      <c r="G49" s="5" t="s">
        <v>142</v>
      </c>
      <c r="H49" s="5" t="s">
        <v>149</v>
      </c>
      <c r="I49" s="24" t="s">
        <v>98</v>
      </c>
    </row>
    <row r="50" spans="1:9" ht="25.9" customHeight="1" x14ac:dyDescent="0.25">
      <c r="A50" s="15"/>
      <c r="B50" s="21" t="s">
        <v>127</v>
      </c>
      <c r="C50" s="5" t="s">
        <v>140</v>
      </c>
      <c r="D50" s="5" t="s">
        <v>150</v>
      </c>
      <c r="E50" s="23" t="s">
        <v>98</v>
      </c>
      <c r="F50" s="21" t="s">
        <v>127</v>
      </c>
      <c r="G50" s="5" t="s">
        <v>142</v>
      </c>
      <c r="H50" s="5" t="s">
        <v>150</v>
      </c>
      <c r="I50" s="23" t="s">
        <v>98</v>
      </c>
    </row>
    <row r="51" spans="1:9" ht="25.9" customHeight="1" x14ac:dyDescent="0.25">
      <c r="A51" s="19"/>
      <c r="B51" s="22" t="s">
        <v>129</v>
      </c>
      <c r="C51" s="5" t="s">
        <v>140</v>
      </c>
      <c r="D51" s="5" t="s">
        <v>151</v>
      </c>
      <c r="E51" s="24" t="s">
        <v>98</v>
      </c>
      <c r="F51" s="22" t="s">
        <v>129</v>
      </c>
      <c r="G51" s="5" t="s">
        <v>142</v>
      </c>
      <c r="H51" s="5" t="s">
        <v>151</v>
      </c>
      <c r="I51" s="24" t="s">
        <v>98</v>
      </c>
    </row>
    <row r="52" spans="1:9" ht="7.9" customHeight="1" x14ac:dyDescent="0.25"/>
    <row r="53" spans="1:9" ht="24" customHeight="1" x14ac:dyDescent="0.25">
      <c r="A53" s="48" t="s">
        <v>152</v>
      </c>
      <c r="B53" s="49"/>
      <c r="C53" s="49"/>
      <c r="D53" s="49"/>
      <c r="E53" s="49"/>
      <c r="F53" s="49"/>
      <c r="G53" s="49"/>
      <c r="H53" s="49"/>
      <c r="I53" s="49"/>
    </row>
    <row r="54" spans="1:9" ht="22.15" customHeight="1" x14ac:dyDescent="0.25">
      <c r="A54" s="15"/>
      <c r="B54" s="53" t="s">
        <v>153</v>
      </c>
      <c r="C54" s="50" t="s">
        <v>154</v>
      </c>
      <c r="D54" s="51"/>
      <c r="E54" s="51"/>
      <c r="F54" s="51"/>
      <c r="G54" s="51"/>
      <c r="H54" s="51"/>
      <c r="I54" s="46"/>
    </row>
    <row r="55" spans="1:9" ht="22.15" customHeight="1" x14ac:dyDescent="0.25">
      <c r="A55" s="19"/>
      <c r="B55" s="47" t="s">
        <v>155</v>
      </c>
      <c r="C55" s="54" t="s">
        <v>156</v>
      </c>
      <c r="D55" s="51"/>
      <c r="E55" s="51"/>
      <c r="F55" s="51"/>
      <c r="G55" s="51"/>
      <c r="H55" s="51"/>
      <c r="I55" s="46"/>
    </row>
    <row r="56" spans="1:9" ht="22.15" customHeight="1" x14ac:dyDescent="0.25">
      <c r="A56" s="15"/>
      <c r="B56" s="53" t="s">
        <v>157</v>
      </c>
      <c r="C56" s="50" t="s">
        <v>158</v>
      </c>
      <c r="D56" s="51"/>
      <c r="E56" s="51"/>
      <c r="F56" s="51"/>
      <c r="G56" s="51"/>
      <c r="H56" s="51"/>
      <c r="I56" s="46"/>
    </row>
    <row r="57" spans="1:9" ht="22.15" customHeight="1" x14ac:dyDescent="0.25">
      <c r="A57" s="19"/>
      <c r="B57" s="47" t="s">
        <v>159</v>
      </c>
      <c r="C57" s="54" t="s">
        <v>160</v>
      </c>
      <c r="D57" s="51"/>
      <c r="E57" s="51"/>
      <c r="F57" s="51"/>
      <c r="G57" s="51"/>
      <c r="H57" s="51"/>
      <c r="I57" s="46"/>
    </row>
    <row r="58" spans="1:9" ht="22.15" customHeight="1" x14ac:dyDescent="0.25">
      <c r="A58" s="15"/>
      <c r="B58" s="53" t="s">
        <v>161</v>
      </c>
      <c r="C58" s="50" t="s">
        <v>162</v>
      </c>
      <c r="D58" s="51"/>
      <c r="E58" s="51"/>
      <c r="F58" s="51"/>
      <c r="G58" s="51"/>
      <c r="H58" s="51"/>
      <c r="I58" s="46"/>
    </row>
    <row r="59" spans="1:9" ht="22.15" customHeight="1" x14ac:dyDescent="0.25">
      <c r="A59" s="19"/>
      <c r="B59" s="47" t="s">
        <v>163</v>
      </c>
      <c r="C59" s="54" t="s">
        <v>164</v>
      </c>
      <c r="D59" s="51"/>
      <c r="E59" s="51"/>
      <c r="F59" s="51"/>
      <c r="G59" s="51"/>
      <c r="H59" s="51"/>
      <c r="I59" s="46"/>
    </row>
  </sheetData>
  <mergeCells count="26">
    <mergeCell ref="A21:I21"/>
    <mergeCell ref="A2:I2"/>
    <mergeCell ref="A5:I5"/>
    <mergeCell ref="B54"/>
    <mergeCell ref="A22:I22"/>
    <mergeCell ref="F24:I24"/>
    <mergeCell ref="A39:I39"/>
    <mergeCell ref="A6:I6"/>
    <mergeCell ref="B40:E40"/>
    <mergeCell ref="A37:I37"/>
    <mergeCell ref="B24:E24"/>
    <mergeCell ref="A3:I3"/>
    <mergeCell ref="A12:I12"/>
    <mergeCell ref="B59"/>
    <mergeCell ref="A53:I53"/>
    <mergeCell ref="C58:I58"/>
    <mergeCell ref="F40:I40"/>
    <mergeCell ref="B56"/>
    <mergeCell ref="B58"/>
    <mergeCell ref="C54:I54"/>
    <mergeCell ref="C55:I55"/>
    <mergeCell ref="B57"/>
    <mergeCell ref="C56:I56"/>
    <mergeCell ref="C59:I59"/>
    <mergeCell ref="C57:I57"/>
    <mergeCell ref="B5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showGridLines="0" workbookViewId="0">
      <selection activeCell="D6" sqref="D6"/>
    </sheetView>
  </sheetViews>
  <sheetFormatPr baseColWidth="10" defaultColWidth="8.85546875" defaultRowHeight="15" x14ac:dyDescent="0.25"/>
  <cols>
    <col min="1" max="1" width="3" style="40" customWidth="1"/>
    <col min="2" max="2" width="12" style="40" customWidth="1"/>
    <col min="3" max="3" width="22" style="40" customWidth="1"/>
    <col min="4" max="7" width="10" style="40" customWidth="1"/>
    <col min="8" max="8" width="12" style="40" customWidth="1"/>
    <col min="9" max="9" width="8" style="40" customWidth="1"/>
    <col min="10" max="10" width="14" style="40" customWidth="1"/>
  </cols>
  <sheetData>
    <row r="1" spans="1:11" ht="7.9" customHeight="1" x14ac:dyDescent="0.25"/>
    <row r="2" spans="1:11" ht="28.15" customHeight="1" x14ac:dyDescent="0.25">
      <c r="A2" s="42" t="s">
        <v>165</v>
      </c>
      <c r="B2" s="43"/>
      <c r="C2" s="43"/>
      <c r="D2" s="43"/>
      <c r="E2" s="43"/>
      <c r="F2" s="43"/>
      <c r="G2" s="43"/>
      <c r="H2" s="43"/>
      <c r="I2" s="43"/>
      <c r="J2" s="44"/>
    </row>
    <row r="3" spans="1:11" ht="19.899999999999999" customHeight="1" x14ac:dyDescent="0.25">
      <c r="B3" s="59" t="s">
        <v>166</v>
      </c>
      <c r="C3" s="49"/>
      <c r="D3" s="49"/>
      <c r="E3" s="49"/>
      <c r="F3" s="49"/>
      <c r="G3" s="49"/>
      <c r="H3" s="49"/>
      <c r="I3" s="49"/>
      <c r="J3" s="49"/>
    </row>
    <row r="4" spans="1:11" ht="6" customHeight="1" x14ac:dyDescent="0.25"/>
    <row r="5" spans="1:11" ht="36" customHeight="1" x14ac:dyDescent="0.25">
      <c r="B5" s="6" t="s">
        <v>167</v>
      </c>
      <c r="C5" s="6" t="s">
        <v>168</v>
      </c>
      <c r="D5" s="6" t="s">
        <v>169</v>
      </c>
      <c r="E5" s="6" t="s">
        <v>170</v>
      </c>
      <c r="F5" s="6" t="s">
        <v>171</v>
      </c>
      <c r="G5" s="6" t="s">
        <v>172</v>
      </c>
      <c r="H5" s="6" t="s">
        <v>173</v>
      </c>
      <c r="I5" s="6" t="s">
        <v>174</v>
      </c>
      <c r="J5" s="6" t="s">
        <v>175</v>
      </c>
      <c r="K5" s="6" t="s">
        <v>176</v>
      </c>
    </row>
    <row r="6" spans="1:11" ht="19.899999999999999" customHeight="1" x14ac:dyDescent="0.25">
      <c r="B6" s="15">
        <v>1</v>
      </c>
      <c r="C6" s="5"/>
      <c r="D6" s="5"/>
      <c r="E6" s="16" t="str">
        <f t="shared" ref="E6:E35" si="0">IF(D6="","",IF(D6&lt;=4,"A",IF(D6&lt;=7,"B","C")))</f>
        <v/>
      </c>
      <c r="F6" s="5"/>
      <c r="G6" s="16" t="str">
        <f t="shared" ref="G6:G35" si="1">IF(F6="","",IF(F6&lt;=4,"A",IF(F6&lt;=7,"B","C")))</f>
        <v/>
      </c>
      <c r="H6" s="5" t="s">
        <v>177</v>
      </c>
      <c r="I6" s="16" t="str">
        <f t="shared" ref="I6:I35" si="2">IF(H6="","",IF(H6&lt;=1,"A",IF(H6&lt;=2,"B","C")))</f>
        <v>C</v>
      </c>
      <c r="J6" s="17" t="str">
        <f t="shared" ref="J6:J35" si="3">IF(AND(D6="",F6=""),"",D6+F6+IF(H6="",0,H6))</f>
        <v/>
      </c>
      <c r="K6" s="18" t="str">
        <f t="shared" ref="K6:K35" si="4">IF(AND(D6="",F6=""),"",IF(OR(D6&gt;10,F6&gt;10,H6&gt;4),"⚠ HORS FOURCHETTE","✓ OK"))</f>
        <v/>
      </c>
    </row>
    <row r="7" spans="1:11" ht="19.899999999999999" customHeight="1" x14ac:dyDescent="0.25">
      <c r="B7" s="19">
        <v>2</v>
      </c>
      <c r="C7" s="5"/>
      <c r="D7" s="5"/>
      <c r="E7" s="16" t="str">
        <f t="shared" si="0"/>
        <v/>
      </c>
      <c r="F7" s="5"/>
      <c r="G7" s="16" t="str">
        <f t="shared" si="1"/>
        <v/>
      </c>
      <c r="H7" s="5" t="s">
        <v>177</v>
      </c>
      <c r="I7" s="16" t="str">
        <f t="shared" si="2"/>
        <v>C</v>
      </c>
      <c r="J7" s="17" t="str">
        <f t="shared" si="3"/>
        <v/>
      </c>
      <c r="K7" s="18" t="str">
        <f t="shared" si="4"/>
        <v/>
      </c>
    </row>
    <row r="8" spans="1:11" ht="19.899999999999999" customHeight="1" x14ac:dyDescent="0.25">
      <c r="B8" s="15">
        <v>3</v>
      </c>
      <c r="C8" s="5"/>
      <c r="D8" s="5"/>
      <c r="E8" s="16" t="str">
        <f t="shared" si="0"/>
        <v/>
      </c>
      <c r="F8" s="5"/>
      <c r="G8" s="16" t="str">
        <f t="shared" si="1"/>
        <v/>
      </c>
      <c r="H8" s="5" t="s">
        <v>177</v>
      </c>
      <c r="I8" s="16" t="str">
        <f t="shared" si="2"/>
        <v>C</v>
      </c>
      <c r="J8" s="17" t="str">
        <f t="shared" si="3"/>
        <v/>
      </c>
      <c r="K8" s="18" t="str">
        <f t="shared" si="4"/>
        <v/>
      </c>
    </row>
    <row r="9" spans="1:11" ht="19.899999999999999" customHeight="1" x14ac:dyDescent="0.25">
      <c r="B9" s="19">
        <v>4</v>
      </c>
      <c r="C9" s="5"/>
      <c r="D9" s="5"/>
      <c r="E9" s="16" t="str">
        <f t="shared" si="0"/>
        <v/>
      </c>
      <c r="F9" s="5"/>
      <c r="G9" s="16" t="str">
        <f t="shared" si="1"/>
        <v/>
      </c>
      <c r="H9" s="5" t="s">
        <v>177</v>
      </c>
      <c r="I9" s="16" t="str">
        <f t="shared" si="2"/>
        <v>C</v>
      </c>
      <c r="J9" s="17" t="str">
        <f t="shared" si="3"/>
        <v/>
      </c>
      <c r="K9" s="18" t="str">
        <f t="shared" si="4"/>
        <v/>
      </c>
    </row>
    <row r="10" spans="1:11" ht="19.899999999999999" customHeight="1" x14ac:dyDescent="0.25">
      <c r="B10" s="15">
        <v>5</v>
      </c>
      <c r="C10" s="5"/>
      <c r="D10" s="5"/>
      <c r="E10" s="16" t="str">
        <f t="shared" si="0"/>
        <v/>
      </c>
      <c r="F10" s="5"/>
      <c r="G10" s="16" t="str">
        <f t="shared" si="1"/>
        <v/>
      </c>
      <c r="H10" s="5" t="s">
        <v>177</v>
      </c>
      <c r="I10" s="16" t="str">
        <f t="shared" si="2"/>
        <v>C</v>
      </c>
      <c r="J10" s="17" t="str">
        <f t="shared" si="3"/>
        <v/>
      </c>
      <c r="K10" s="18" t="str">
        <f t="shared" si="4"/>
        <v/>
      </c>
    </row>
    <row r="11" spans="1:11" ht="19.899999999999999" customHeight="1" x14ac:dyDescent="0.25">
      <c r="B11" s="19">
        <v>6</v>
      </c>
      <c r="C11" s="5"/>
      <c r="D11" s="5"/>
      <c r="E11" s="16" t="str">
        <f t="shared" si="0"/>
        <v/>
      </c>
      <c r="F11" s="5"/>
      <c r="G11" s="16" t="str">
        <f t="shared" si="1"/>
        <v/>
      </c>
      <c r="H11" s="5" t="s">
        <v>177</v>
      </c>
      <c r="I11" s="16" t="str">
        <f t="shared" si="2"/>
        <v>C</v>
      </c>
      <c r="J11" s="17" t="str">
        <f t="shared" si="3"/>
        <v/>
      </c>
      <c r="K11" s="18" t="str">
        <f t="shared" si="4"/>
        <v/>
      </c>
    </row>
    <row r="12" spans="1:11" ht="19.899999999999999" customHeight="1" x14ac:dyDescent="0.25">
      <c r="B12" s="15">
        <v>7</v>
      </c>
      <c r="C12" s="5"/>
      <c r="D12" s="5"/>
      <c r="E12" s="16" t="str">
        <f t="shared" si="0"/>
        <v/>
      </c>
      <c r="F12" s="5"/>
      <c r="G12" s="16" t="str">
        <f t="shared" si="1"/>
        <v/>
      </c>
      <c r="H12" s="5" t="s">
        <v>177</v>
      </c>
      <c r="I12" s="16" t="str">
        <f t="shared" si="2"/>
        <v>C</v>
      </c>
      <c r="J12" s="17" t="str">
        <f t="shared" si="3"/>
        <v/>
      </c>
      <c r="K12" s="18" t="str">
        <f t="shared" si="4"/>
        <v/>
      </c>
    </row>
    <row r="13" spans="1:11" ht="19.899999999999999" customHeight="1" x14ac:dyDescent="0.25">
      <c r="B13" s="19">
        <v>8</v>
      </c>
      <c r="C13" s="5"/>
      <c r="D13" s="5"/>
      <c r="E13" s="16" t="str">
        <f t="shared" si="0"/>
        <v/>
      </c>
      <c r="F13" s="5"/>
      <c r="G13" s="16" t="str">
        <f t="shared" si="1"/>
        <v/>
      </c>
      <c r="H13" s="5" t="s">
        <v>177</v>
      </c>
      <c r="I13" s="16" t="str">
        <f t="shared" si="2"/>
        <v>C</v>
      </c>
      <c r="J13" s="17" t="str">
        <f t="shared" si="3"/>
        <v/>
      </c>
      <c r="K13" s="18" t="str">
        <f t="shared" si="4"/>
        <v/>
      </c>
    </row>
    <row r="14" spans="1:11" ht="19.899999999999999" customHeight="1" x14ac:dyDescent="0.25">
      <c r="B14" s="15">
        <v>9</v>
      </c>
      <c r="C14" s="5"/>
      <c r="D14" s="5"/>
      <c r="E14" s="16" t="str">
        <f t="shared" si="0"/>
        <v/>
      </c>
      <c r="F14" s="5"/>
      <c r="G14" s="16" t="str">
        <f t="shared" si="1"/>
        <v/>
      </c>
      <c r="H14" s="5" t="s">
        <v>177</v>
      </c>
      <c r="I14" s="16" t="str">
        <f t="shared" si="2"/>
        <v>C</v>
      </c>
      <c r="J14" s="17" t="str">
        <f t="shared" si="3"/>
        <v/>
      </c>
      <c r="K14" s="18" t="str">
        <f t="shared" si="4"/>
        <v/>
      </c>
    </row>
    <row r="15" spans="1:11" ht="19.899999999999999" customHeight="1" x14ac:dyDescent="0.25">
      <c r="B15" s="19">
        <v>10</v>
      </c>
      <c r="C15" s="5"/>
      <c r="D15" s="5"/>
      <c r="E15" s="16" t="str">
        <f t="shared" si="0"/>
        <v/>
      </c>
      <c r="F15" s="5"/>
      <c r="G15" s="16" t="str">
        <f t="shared" si="1"/>
        <v/>
      </c>
      <c r="H15" s="5" t="s">
        <v>177</v>
      </c>
      <c r="I15" s="16" t="str">
        <f t="shared" si="2"/>
        <v>C</v>
      </c>
      <c r="J15" s="17" t="str">
        <f t="shared" si="3"/>
        <v/>
      </c>
      <c r="K15" s="18" t="str">
        <f t="shared" si="4"/>
        <v/>
      </c>
    </row>
    <row r="16" spans="1:11" ht="19.899999999999999" customHeight="1" x14ac:dyDescent="0.25">
      <c r="B16" s="15">
        <v>11</v>
      </c>
      <c r="C16" s="5"/>
      <c r="D16" s="5"/>
      <c r="E16" s="16" t="str">
        <f t="shared" si="0"/>
        <v/>
      </c>
      <c r="F16" s="5"/>
      <c r="G16" s="16" t="str">
        <f t="shared" si="1"/>
        <v/>
      </c>
      <c r="H16" s="5" t="s">
        <v>177</v>
      </c>
      <c r="I16" s="16" t="str">
        <f t="shared" si="2"/>
        <v>C</v>
      </c>
      <c r="J16" s="17" t="str">
        <f t="shared" si="3"/>
        <v/>
      </c>
      <c r="K16" s="18" t="str">
        <f t="shared" si="4"/>
        <v/>
      </c>
    </row>
    <row r="17" spans="2:11" ht="19.899999999999999" customHeight="1" x14ac:dyDescent="0.25">
      <c r="B17" s="19">
        <v>12</v>
      </c>
      <c r="C17" s="5"/>
      <c r="D17" s="5"/>
      <c r="E17" s="16" t="str">
        <f t="shared" si="0"/>
        <v/>
      </c>
      <c r="F17" s="5"/>
      <c r="G17" s="16" t="str">
        <f t="shared" si="1"/>
        <v/>
      </c>
      <c r="H17" s="5" t="s">
        <v>177</v>
      </c>
      <c r="I17" s="16" t="str">
        <f t="shared" si="2"/>
        <v>C</v>
      </c>
      <c r="J17" s="17" t="str">
        <f t="shared" si="3"/>
        <v/>
      </c>
      <c r="K17" s="18" t="str">
        <f t="shared" si="4"/>
        <v/>
      </c>
    </row>
    <row r="18" spans="2:11" ht="19.899999999999999" customHeight="1" x14ac:dyDescent="0.25">
      <c r="B18" s="15">
        <v>13</v>
      </c>
      <c r="C18" s="5"/>
      <c r="D18" s="5"/>
      <c r="E18" s="16" t="str">
        <f t="shared" si="0"/>
        <v/>
      </c>
      <c r="F18" s="5"/>
      <c r="G18" s="16" t="str">
        <f t="shared" si="1"/>
        <v/>
      </c>
      <c r="H18" s="5" t="s">
        <v>177</v>
      </c>
      <c r="I18" s="16" t="str">
        <f t="shared" si="2"/>
        <v>C</v>
      </c>
      <c r="J18" s="17" t="str">
        <f t="shared" si="3"/>
        <v/>
      </c>
      <c r="K18" s="18" t="str">
        <f t="shared" si="4"/>
        <v/>
      </c>
    </row>
    <row r="19" spans="2:11" ht="19.899999999999999" customHeight="1" x14ac:dyDescent="0.25">
      <c r="B19" s="19">
        <v>14</v>
      </c>
      <c r="C19" s="5"/>
      <c r="D19" s="5"/>
      <c r="E19" s="16" t="str">
        <f t="shared" si="0"/>
        <v/>
      </c>
      <c r="F19" s="5"/>
      <c r="G19" s="16" t="str">
        <f t="shared" si="1"/>
        <v/>
      </c>
      <c r="H19" s="5" t="s">
        <v>177</v>
      </c>
      <c r="I19" s="16" t="str">
        <f t="shared" si="2"/>
        <v>C</v>
      </c>
      <c r="J19" s="17" t="str">
        <f t="shared" si="3"/>
        <v/>
      </c>
      <c r="K19" s="18" t="str">
        <f t="shared" si="4"/>
        <v/>
      </c>
    </row>
    <row r="20" spans="2:11" ht="19.899999999999999" customHeight="1" x14ac:dyDescent="0.25">
      <c r="B20" s="15">
        <v>15</v>
      </c>
      <c r="C20" s="5"/>
      <c r="D20" s="5"/>
      <c r="E20" s="16" t="str">
        <f t="shared" si="0"/>
        <v/>
      </c>
      <c r="F20" s="5"/>
      <c r="G20" s="16" t="str">
        <f t="shared" si="1"/>
        <v/>
      </c>
      <c r="H20" s="5" t="s">
        <v>177</v>
      </c>
      <c r="I20" s="16" t="str">
        <f t="shared" si="2"/>
        <v>C</v>
      </c>
      <c r="J20" s="17" t="str">
        <f t="shared" si="3"/>
        <v/>
      </c>
      <c r="K20" s="18" t="str">
        <f t="shared" si="4"/>
        <v/>
      </c>
    </row>
    <row r="21" spans="2:11" ht="19.899999999999999" customHeight="1" x14ac:dyDescent="0.25">
      <c r="B21" s="19">
        <v>16</v>
      </c>
      <c r="C21" s="5"/>
      <c r="D21" s="5"/>
      <c r="E21" s="16" t="str">
        <f t="shared" si="0"/>
        <v/>
      </c>
      <c r="F21" s="5"/>
      <c r="G21" s="16" t="str">
        <f t="shared" si="1"/>
        <v/>
      </c>
      <c r="H21" s="5" t="s">
        <v>177</v>
      </c>
      <c r="I21" s="16" t="str">
        <f t="shared" si="2"/>
        <v>C</v>
      </c>
      <c r="J21" s="17" t="str">
        <f t="shared" si="3"/>
        <v/>
      </c>
      <c r="K21" s="18" t="str">
        <f t="shared" si="4"/>
        <v/>
      </c>
    </row>
    <row r="22" spans="2:11" ht="19.899999999999999" customHeight="1" x14ac:dyDescent="0.25">
      <c r="B22" s="15">
        <v>17</v>
      </c>
      <c r="C22" s="5"/>
      <c r="D22" s="5"/>
      <c r="E22" s="16" t="str">
        <f t="shared" si="0"/>
        <v/>
      </c>
      <c r="F22" s="5"/>
      <c r="G22" s="16" t="str">
        <f t="shared" si="1"/>
        <v/>
      </c>
      <c r="H22" s="5" t="s">
        <v>177</v>
      </c>
      <c r="I22" s="16" t="str">
        <f t="shared" si="2"/>
        <v>C</v>
      </c>
      <c r="J22" s="17" t="str">
        <f t="shared" si="3"/>
        <v/>
      </c>
      <c r="K22" s="18" t="str">
        <f t="shared" si="4"/>
        <v/>
      </c>
    </row>
    <row r="23" spans="2:11" ht="19.899999999999999" customHeight="1" x14ac:dyDescent="0.25">
      <c r="B23" s="19">
        <v>18</v>
      </c>
      <c r="C23" s="5"/>
      <c r="D23" s="5"/>
      <c r="E23" s="16" t="str">
        <f t="shared" si="0"/>
        <v/>
      </c>
      <c r="F23" s="5"/>
      <c r="G23" s="16" t="str">
        <f t="shared" si="1"/>
        <v/>
      </c>
      <c r="H23" s="5" t="s">
        <v>177</v>
      </c>
      <c r="I23" s="16" t="str">
        <f t="shared" si="2"/>
        <v>C</v>
      </c>
      <c r="J23" s="17" t="str">
        <f t="shared" si="3"/>
        <v/>
      </c>
      <c r="K23" s="18" t="str">
        <f t="shared" si="4"/>
        <v/>
      </c>
    </row>
    <row r="24" spans="2:11" ht="19.899999999999999" customHeight="1" x14ac:dyDescent="0.25">
      <c r="B24" s="15">
        <v>19</v>
      </c>
      <c r="C24" s="5"/>
      <c r="D24" s="5"/>
      <c r="E24" s="16" t="str">
        <f t="shared" si="0"/>
        <v/>
      </c>
      <c r="F24" s="5"/>
      <c r="G24" s="16" t="str">
        <f t="shared" si="1"/>
        <v/>
      </c>
      <c r="H24" s="5" t="s">
        <v>177</v>
      </c>
      <c r="I24" s="16" t="str">
        <f t="shared" si="2"/>
        <v>C</v>
      </c>
      <c r="J24" s="17" t="str">
        <f t="shared" si="3"/>
        <v/>
      </c>
      <c r="K24" s="18" t="str">
        <f t="shared" si="4"/>
        <v/>
      </c>
    </row>
    <row r="25" spans="2:11" ht="19.899999999999999" customHeight="1" x14ac:dyDescent="0.25">
      <c r="B25" s="19">
        <v>20</v>
      </c>
      <c r="C25" s="5"/>
      <c r="D25" s="5"/>
      <c r="E25" s="16" t="str">
        <f t="shared" si="0"/>
        <v/>
      </c>
      <c r="F25" s="5"/>
      <c r="G25" s="16" t="str">
        <f t="shared" si="1"/>
        <v/>
      </c>
      <c r="H25" s="5" t="s">
        <v>177</v>
      </c>
      <c r="I25" s="16" t="str">
        <f t="shared" si="2"/>
        <v>C</v>
      </c>
      <c r="J25" s="17" t="str">
        <f t="shared" si="3"/>
        <v/>
      </c>
      <c r="K25" s="18" t="str">
        <f t="shared" si="4"/>
        <v/>
      </c>
    </row>
    <row r="26" spans="2:11" ht="19.899999999999999" customHeight="1" x14ac:dyDescent="0.25">
      <c r="B26" s="15">
        <v>21</v>
      </c>
      <c r="C26" s="5"/>
      <c r="D26" s="5"/>
      <c r="E26" s="16" t="str">
        <f t="shared" si="0"/>
        <v/>
      </c>
      <c r="F26" s="5"/>
      <c r="G26" s="16" t="str">
        <f t="shared" si="1"/>
        <v/>
      </c>
      <c r="H26" s="5" t="s">
        <v>177</v>
      </c>
      <c r="I26" s="16" t="str">
        <f t="shared" si="2"/>
        <v>C</v>
      </c>
      <c r="J26" s="17" t="str">
        <f t="shared" si="3"/>
        <v/>
      </c>
      <c r="K26" s="18" t="str">
        <f t="shared" si="4"/>
        <v/>
      </c>
    </row>
    <row r="27" spans="2:11" ht="19.899999999999999" customHeight="1" x14ac:dyDescent="0.25">
      <c r="B27" s="19">
        <v>22</v>
      </c>
      <c r="C27" s="5"/>
      <c r="D27" s="5"/>
      <c r="E27" s="16" t="str">
        <f t="shared" si="0"/>
        <v/>
      </c>
      <c r="F27" s="5"/>
      <c r="G27" s="16" t="str">
        <f t="shared" si="1"/>
        <v/>
      </c>
      <c r="H27" s="5" t="s">
        <v>177</v>
      </c>
      <c r="I27" s="16" t="str">
        <f t="shared" si="2"/>
        <v>C</v>
      </c>
      <c r="J27" s="17" t="str">
        <f t="shared" si="3"/>
        <v/>
      </c>
      <c r="K27" s="18" t="str">
        <f t="shared" si="4"/>
        <v/>
      </c>
    </row>
    <row r="28" spans="2:11" ht="19.899999999999999" customHeight="1" x14ac:dyDescent="0.25">
      <c r="B28" s="15">
        <v>23</v>
      </c>
      <c r="C28" s="5"/>
      <c r="D28" s="5"/>
      <c r="E28" s="16" t="str">
        <f t="shared" si="0"/>
        <v/>
      </c>
      <c r="F28" s="5"/>
      <c r="G28" s="16" t="str">
        <f t="shared" si="1"/>
        <v/>
      </c>
      <c r="H28" s="5" t="s">
        <v>177</v>
      </c>
      <c r="I28" s="16" t="str">
        <f t="shared" si="2"/>
        <v>C</v>
      </c>
      <c r="J28" s="17" t="str">
        <f t="shared" si="3"/>
        <v/>
      </c>
      <c r="K28" s="18" t="str">
        <f t="shared" si="4"/>
        <v/>
      </c>
    </row>
    <row r="29" spans="2:11" ht="19.899999999999999" customHeight="1" x14ac:dyDescent="0.25">
      <c r="B29" s="19">
        <v>24</v>
      </c>
      <c r="C29" s="5"/>
      <c r="D29" s="5"/>
      <c r="E29" s="16" t="str">
        <f t="shared" si="0"/>
        <v/>
      </c>
      <c r="F29" s="5"/>
      <c r="G29" s="16" t="str">
        <f t="shared" si="1"/>
        <v/>
      </c>
      <c r="H29" s="5" t="s">
        <v>177</v>
      </c>
      <c r="I29" s="16" t="str">
        <f t="shared" si="2"/>
        <v>C</v>
      </c>
      <c r="J29" s="17" t="str">
        <f t="shared" si="3"/>
        <v/>
      </c>
      <c r="K29" s="18" t="str">
        <f t="shared" si="4"/>
        <v/>
      </c>
    </row>
    <row r="30" spans="2:11" ht="19.899999999999999" customHeight="1" x14ac:dyDescent="0.25">
      <c r="B30" s="15">
        <v>25</v>
      </c>
      <c r="C30" s="5"/>
      <c r="D30" s="5"/>
      <c r="E30" s="16" t="str">
        <f t="shared" si="0"/>
        <v/>
      </c>
      <c r="F30" s="5"/>
      <c r="G30" s="16" t="str">
        <f t="shared" si="1"/>
        <v/>
      </c>
      <c r="H30" s="5" t="s">
        <v>177</v>
      </c>
      <c r="I30" s="16" t="str">
        <f t="shared" si="2"/>
        <v>C</v>
      </c>
      <c r="J30" s="17" t="str">
        <f t="shared" si="3"/>
        <v/>
      </c>
      <c r="K30" s="18" t="str">
        <f t="shared" si="4"/>
        <v/>
      </c>
    </row>
    <row r="31" spans="2:11" ht="19.899999999999999" customHeight="1" x14ac:dyDescent="0.25">
      <c r="B31" s="19">
        <v>26</v>
      </c>
      <c r="C31" s="5"/>
      <c r="D31" s="5"/>
      <c r="E31" s="16" t="str">
        <f t="shared" si="0"/>
        <v/>
      </c>
      <c r="F31" s="5"/>
      <c r="G31" s="16" t="str">
        <f t="shared" si="1"/>
        <v/>
      </c>
      <c r="H31" s="5" t="s">
        <v>177</v>
      </c>
      <c r="I31" s="16" t="str">
        <f t="shared" si="2"/>
        <v>C</v>
      </c>
      <c r="J31" s="17" t="str">
        <f t="shared" si="3"/>
        <v/>
      </c>
      <c r="K31" s="18" t="str">
        <f t="shared" si="4"/>
        <v/>
      </c>
    </row>
    <row r="32" spans="2:11" ht="19.899999999999999" customHeight="1" x14ac:dyDescent="0.25">
      <c r="B32" s="15">
        <v>27</v>
      </c>
      <c r="C32" s="5"/>
      <c r="D32" s="5"/>
      <c r="E32" s="16" t="str">
        <f t="shared" si="0"/>
        <v/>
      </c>
      <c r="F32" s="5"/>
      <c r="G32" s="16" t="str">
        <f t="shared" si="1"/>
        <v/>
      </c>
      <c r="H32" s="5" t="s">
        <v>177</v>
      </c>
      <c r="I32" s="16" t="str">
        <f t="shared" si="2"/>
        <v>C</v>
      </c>
      <c r="J32" s="17" t="str">
        <f t="shared" si="3"/>
        <v/>
      </c>
      <c r="K32" s="18" t="str">
        <f t="shared" si="4"/>
        <v/>
      </c>
    </row>
    <row r="33" spans="2:11" ht="19.899999999999999" customHeight="1" x14ac:dyDescent="0.25">
      <c r="B33" s="19">
        <v>28</v>
      </c>
      <c r="C33" s="5"/>
      <c r="D33" s="5"/>
      <c r="E33" s="16" t="str">
        <f t="shared" si="0"/>
        <v/>
      </c>
      <c r="F33" s="5"/>
      <c r="G33" s="16" t="str">
        <f t="shared" si="1"/>
        <v/>
      </c>
      <c r="H33" s="5" t="s">
        <v>177</v>
      </c>
      <c r="I33" s="16" t="str">
        <f t="shared" si="2"/>
        <v>C</v>
      </c>
      <c r="J33" s="17" t="str">
        <f t="shared" si="3"/>
        <v/>
      </c>
      <c r="K33" s="18" t="str">
        <f t="shared" si="4"/>
        <v/>
      </c>
    </row>
    <row r="34" spans="2:11" ht="19.899999999999999" customHeight="1" x14ac:dyDescent="0.25">
      <c r="B34" s="15">
        <v>29</v>
      </c>
      <c r="C34" s="5"/>
      <c r="D34" s="5"/>
      <c r="E34" s="16" t="str">
        <f t="shared" si="0"/>
        <v/>
      </c>
      <c r="F34" s="5"/>
      <c r="G34" s="16" t="str">
        <f t="shared" si="1"/>
        <v/>
      </c>
      <c r="H34" s="5" t="s">
        <v>177</v>
      </c>
      <c r="I34" s="16" t="str">
        <f t="shared" si="2"/>
        <v>C</v>
      </c>
      <c r="J34" s="17" t="str">
        <f t="shared" si="3"/>
        <v/>
      </c>
      <c r="K34" s="18" t="str">
        <f t="shared" si="4"/>
        <v/>
      </c>
    </row>
    <row r="35" spans="2:11" ht="19.899999999999999" customHeight="1" x14ac:dyDescent="0.25">
      <c r="B35" s="19">
        <v>30</v>
      </c>
      <c r="C35" s="5"/>
      <c r="D35" s="5"/>
      <c r="E35" s="16" t="str">
        <f t="shared" si="0"/>
        <v/>
      </c>
      <c r="F35" s="5"/>
      <c r="G35" s="16" t="str">
        <f t="shared" si="1"/>
        <v/>
      </c>
      <c r="H35" s="5" t="s">
        <v>177</v>
      </c>
      <c r="I35" s="16" t="str">
        <f t="shared" si="2"/>
        <v>C</v>
      </c>
      <c r="J35" s="17" t="str">
        <f t="shared" si="3"/>
        <v/>
      </c>
      <c r="K35" s="18" t="str">
        <f t="shared" si="4"/>
        <v/>
      </c>
    </row>
  </sheetData>
  <mergeCells count="2">
    <mergeCell ref="B3:J3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showGridLines="0" workbookViewId="0"/>
  </sheetViews>
  <sheetFormatPr baseColWidth="10" defaultColWidth="8.85546875" defaultRowHeight="15" x14ac:dyDescent="0.25"/>
  <cols>
    <col min="1" max="1" width="3" style="40" customWidth="1"/>
    <col min="2" max="2" width="15" style="40" customWidth="1"/>
    <col min="3" max="3" width="22" style="40" customWidth="1"/>
    <col min="4" max="6" width="14" style="40" customWidth="1"/>
    <col min="7" max="7" width="12" style="40" customWidth="1"/>
    <col min="8" max="8" width="16" style="40" customWidth="1"/>
  </cols>
  <sheetData>
    <row r="1" spans="1:8" ht="7.9" customHeight="1" x14ac:dyDescent="0.25"/>
    <row r="2" spans="1:8" ht="28.15" customHeight="1" x14ac:dyDescent="0.25">
      <c r="A2" s="42" t="s">
        <v>178</v>
      </c>
      <c r="B2" s="43"/>
      <c r="C2" s="43"/>
      <c r="D2" s="43"/>
      <c r="E2" s="43"/>
      <c r="F2" s="43"/>
      <c r="G2" s="43"/>
      <c r="H2" s="44"/>
    </row>
    <row r="3" spans="1:8" ht="24" customHeight="1" x14ac:dyDescent="0.25">
      <c r="B3" s="66" t="s">
        <v>179</v>
      </c>
      <c r="C3" s="49"/>
      <c r="D3" s="49"/>
      <c r="E3" s="49"/>
      <c r="F3" s="49"/>
      <c r="G3" s="49"/>
      <c r="H3" s="49"/>
    </row>
    <row r="4" spans="1:8" ht="6" customHeight="1" x14ac:dyDescent="0.25"/>
    <row r="5" spans="1:8" ht="36" customHeight="1" x14ac:dyDescent="0.25">
      <c r="B5" s="6" t="s">
        <v>180</v>
      </c>
      <c r="C5" s="6" t="s">
        <v>181</v>
      </c>
      <c r="D5" s="12" t="s">
        <v>182</v>
      </c>
      <c r="E5" s="6" t="s">
        <v>183</v>
      </c>
      <c r="F5" s="13" t="s">
        <v>182</v>
      </c>
      <c r="G5" s="6" t="s">
        <v>184</v>
      </c>
      <c r="H5" s="14" t="s">
        <v>182</v>
      </c>
    </row>
    <row r="6" spans="1:8" ht="31.9" customHeight="1" x14ac:dyDescent="0.25">
      <c r="B6" s="7" t="s">
        <v>41</v>
      </c>
      <c r="C6" s="5" t="s">
        <v>185</v>
      </c>
      <c r="D6" s="8" t="s">
        <v>186</v>
      </c>
      <c r="E6" s="5" t="s">
        <v>187</v>
      </c>
      <c r="F6" s="9" t="s">
        <v>188</v>
      </c>
      <c r="G6" s="5" t="s">
        <v>189</v>
      </c>
      <c r="H6" s="10" t="s">
        <v>190</v>
      </c>
    </row>
    <row r="7" spans="1:8" ht="31.9" customHeight="1" x14ac:dyDescent="0.25">
      <c r="B7" s="11" t="s">
        <v>49</v>
      </c>
      <c r="C7" s="5" t="s">
        <v>191</v>
      </c>
      <c r="D7" s="8" t="s">
        <v>186</v>
      </c>
      <c r="E7" s="5" t="s">
        <v>192</v>
      </c>
      <c r="F7" s="9" t="s">
        <v>188</v>
      </c>
      <c r="G7" s="5" t="s">
        <v>193</v>
      </c>
      <c r="H7" s="10" t="s">
        <v>190</v>
      </c>
    </row>
    <row r="8" spans="1:8" ht="31.9" customHeight="1" x14ac:dyDescent="0.25">
      <c r="B8" s="7" t="s">
        <v>194</v>
      </c>
      <c r="C8" s="5" t="s">
        <v>195</v>
      </c>
      <c r="D8" s="8" t="s">
        <v>121</v>
      </c>
      <c r="E8" s="5" t="s">
        <v>196</v>
      </c>
      <c r="F8" s="9" t="s">
        <v>110</v>
      </c>
      <c r="G8" s="5" t="s">
        <v>197</v>
      </c>
      <c r="H8" s="10" t="s">
        <v>102</v>
      </c>
    </row>
    <row r="9" spans="1:8" ht="6" customHeight="1" x14ac:dyDescent="0.25"/>
    <row r="10" spans="1:8" ht="25.9" customHeight="1" x14ac:dyDescent="0.25">
      <c r="B10" s="65" t="s">
        <v>198</v>
      </c>
      <c r="C10" s="49"/>
      <c r="D10" s="49"/>
      <c r="E10" s="49"/>
      <c r="F10" s="49"/>
      <c r="G10" s="49"/>
      <c r="H10" s="49"/>
    </row>
    <row r="11" spans="1:8" ht="19.899999999999999" customHeight="1" x14ac:dyDescent="0.25">
      <c r="B11" s="63" t="s">
        <v>199</v>
      </c>
      <c r="C11" s="51"/>
      <c r="D11" s="51"/>
      <c r="E11" s="51"/>
      <c r="F11" s="51"/>
      <c r="G11" s="46"/>
      <c r="H11" s="5" t="s">
        <v>200</v>
      </c>
    </row>
    <row r="12" spans="1:8" ht="19.899999999999999" customHeight="1" x14ac:dyDescent="0.25">
      <c r="B12" s="64" t="s">
        <v>201</v>
      </c>
      <c r="C12" s="51"/>
      <c r="D12" s="51"/>
      <c r="E12" s="51"/>
      <c r="F12" s="51"/>
      <c r="G12" s="46"/>
      <c r="H12" s="5" t="s">
        <v>200</v>
      </c>
    </row>
    <row r="13" spans="1:8" ht="19.899999999999999" customHeight="1" x14ac:dyDescent="0.25">
      <c r="B13" s="63" t="s">
        <v>202</v>
      </c>
      <c r="C13" s="51"/>
      <c r="D13" s="51"/>
      <c r="E13" s="51"/>
      <c r="F13" s="51"/>
      <c r="G13" s="46"/>
      <c r="H13" s="5" t="s">
        <v>200</v>
      </c>
    </row>
    <row r="14" spans="1:8" ht="19.899999999999999" customHeight="1" x14ac:dyDescent="0.25">
      <c r="B14" s="64" t="s">
        <v>203</v>
      </c>
      <c r="C14" s="51"/>
      <c r="D14" s="51"/>
      <c r="E14" s="51"/>
      <c r="F14" s="51"/>
      <c r="G14" s="46"/>
      <c r="H14" s="5" t="s">
        <v>200</v>
      </c>
    </row>
    <row r="15" spans="1:8" ht="19.899999999999999" customHeight="1" x14ac:dyDescent="0.25">
      <c r="B15" s="63" t="s">
        <v>204</v>
      </c>
      <c r="C15" s="51"/>
      <c r="D15" s="51"/>
      <c r="E15" s="51"/>
      <c r="F15" s="51"/>
      <c r="G15" s="46"/>
      <c r="H15" s="5" t="s">
        <v>200</v>
      </c>
    </row>
  </sheetData>
  <mergeCells count="8">
    <mergeCell ref="B15:G15"/>
    <mergeCell ref="B11:G11"/>
    <mergeCell ref="B14:G14"/>
    <mergeCell ref="A2:H2"/>
    <mergeCell ref="B12:G12"/>
    <mergeCell ref="B13:G13"/>
    <mergeCell ref="B10:H10"/>
    <mergeCell ref="B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LISEZ-MOI</vt:lpstr>
      <vt:lpstr>IDENTITÉ</vt:lpstr>
      <vt:lpstr>CRITÈRES C1·C2·C3</vt:lpstr>
      <vt:lpstr>BARÈME ES</vt:lpstr>
      <vt:lpstr>CALCUL NOTE SUR 20</vt:lpstr>
      <vt:lpstr>TEST SIMULATION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Gk</cp:lastModifiedBy>
  <dcterms:created xsi:type="dcterms:W3CDTF">2026-04-28T17:35:41Z</dcterms:created>
  <dcterms:modified xsi:type="dcterms:W3CDTF">2026-06-10T05:24:32Z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2026-04-28T23:25:09Z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6ede5e84-c9b6-472f-aa98-fce32982d0d1</vt:lpwstr>
  </property>
  <property fmtid="{D5CDD505-2E9C-101B-9397-08002B2CF9AE}" pid="7" name="MSIP_Label_defa4170-0d19-0005-0004-bc88714345d2_ActionId">
    <vt:lpwstr>19dca712-c2f6-46e5-af16-f96df772a0f0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